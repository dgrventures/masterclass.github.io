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elichting" sheetId="1" state="visible" r:id="rId3"/>
    <sheet name="MKBA 2026 MOE" sheetId="2" state="visible" r:id="rId4"/>
    <sheet name="Vergelijk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<sst xmlns="http://schemas.openxmlformats.org/spreadsheetml/2006/main" count="81" uniqueCount="73">
  <si>
    <t xml:space="preserve">Maatschappelijke toets — AkzoNobel × Axalta (merger of equals, 2026)</t>
  </si>
  <si>
    <t xml:space="preserve">Geüpdatete maatschappelijke kosten-batenanalyse (MKBA). Illustratieve teaching-versie t.b.v. de masterclass.</t>
  </si>
  <si>
    <t xml:space="preserve">DOEL</t>
  </si>
  <si>
    <t xml:space="preserve">Het ESB-artikel 'Maatschappelijke toetsing van overnames is nodig' (Schoenmaker &amp; De Groot Ruiz e.a., 2017) schatte de brede waarde (financieel + sociaal + milieu) van een AkzoNobel-overname door PPG: verwacht ca. –€6 mrd. Dit bestand past diezelfde methode toe op de situatie van 2026 — de fusie van gelijken met Axalta — en voegt, op verzoek, een vijfde effect toe: de impact op autonomie.</t>
  </si>
  <si>
    <t xml:space="preserve">METHODE</t>
  </si>
  <si>
    <t xml:space="preserve">Per effect schatten we een bandbreedte (onder / verwacht / boven), uitgedrukt in euro's (contante waarde, € mrd). Disconteringsvoet 3%; horizon 4 jaar (midden) en 8 jaar (extremen), net als in 2017. De post 'Werknemers' wordt gedreven door een expliciete banen-calculator (aantal banen × maatschappelijke waarde per baan × horizon). De totale toets is de som van de effecten (Rijnlands: T = F + S + M, alle stakeholders gelijk gewogen).</t>
  </si>
  <si>
    <t xml:space="preserve">SCOPE &amp; COUNTERFACTUAL</t>
  </si>
  <si>
    <t xml:space="preserve">De toets vergelijkt 'fuseren met Axalta' met 'zelfstandig doorgaan'. Belangrijk: het afgewezen cash-bod van Nippon Paint + Sherwin-Williams (opsplitsing) is een dérde scenario dat op vrijwel elke post sléchter zou scoren (opsplitsing → meer banen- en autonomieverlies, sterkere consolidatie). Dat de fusie minder maatschappelijke schade geeft dan dat bod, ondersteunt feitelijk de keuze van het bestuur voor de MOE.</t>
  </si>
  <si>
    <t xml:space="preserve">WAAROM 2026 WEZENLIJK ANDERS IS DAN 2017 (PPG)</t>
  </si>
  <si>
    <t xml:space="preserve">• Fusie van gelijken (all-stock, geen premie), geen vijandige overname met opsplitsing.</t>
  </si>
  <si>
    <t xml:space="preserve">• Complementaire portefeuilles (Axalta: auto/refinish/mobility; AkzoNobel: deco/marine/powder) → minder directe marktoverlap dan PPG (een directe concurrent) → kleiner prijseffect, lagere mededingingsdrempel.</t>
  </si>
  <si>
    <t xml:space="preserve">• Geen erosie van een groot duurzaamheidsvoordeel zoals bij het minder-groene PPG; profielen zijn symmetrischer.</t>
  </si>
  <si>
    <t xml:space="preserve">• Concrete, becijferde synergie (~$600 mln, 90% binnen 3 jaar) → de aandeelhouderspost is eerder positief dan bij PPG.</t>
  </si>
  <si>
    <t xml:space="preserve">• NIEUW: autonomie. Domicilie blijft NL en één HQ blijft Amsterdam, maar het hoofdkantoor wordt deels Philadelphia en de notering schuift naar enkel NYSE (delisting Euronext). Nuance: de aandeelhoudersbasis is al &gt;60% Amerikaans, en het bestuur framet de schaal juist als méér strategische onafhankelijkheid. Autonomie snijdt dus twee kanten op.</t>
  </si>
  <si>
    <t xml:space="preserve">HOE TE GEBRUIKEN</t>
  </si>
  <si>
    <t xml:space="preserve">Tab 'MKBA 2026 MOE' bevat het model: de gele cellen zijn aannames — pas ze aan en de totalen herrekenen. Tab 'Vergelijking' zet 2017 (PPG) naast 2026 (MOE). In de casus voedt dit de maatschappelijke-impact-toets van de RvC, de EZ-interventie (autonomie) en de aandeelhoudersstem.</t>
  </si>
  <si>
    <t xml:space="preserve">DISCLAIMER</t>
  </si>
  <si>
    <t xml:space="preserve">Dit is een illustratieve onderwijs-update, géén volwaardige of peer-reviewed MKBA. De euro-schattingen voor 2026 zijn redeneer-aannames gekalibreerd op de methode van het artikel — ze zijn er nadrukkelijk om te bevrágen. De 2017-cijfers komen rechtstreeks uit het artikel.</t>
  </si>
  <si>
    <t xml:space="preserve">BRONNEN</t>
  </si>
  <si>
    <t xml:space="preserve">• Schoenmaker, D., A. de Groot Ruiz e.a. (2017) 'Maatschappelijke toetsing van overnames is nodig', ESB 4752, 10 aug 2017 (kader 1).</t>
  </si>
  <si>
    <t xml:space="preserve">• AkzoNobel/Axalta persbericht &amp; filings (nov 2025–mei 2026): MOE-voorwaarden, ~$600 mln synergie, ~$17 mrd omzet, ~$25 mrd EV, dual HQ Amsterdam/Philadelphia, enkel-NYSE, 46.551 werknemers (NewCo), aandeelhoudersbasis &gt;60% VS.</t>
  </si>
  <si>
    <t xml:space="preserve">• Maatschappelijke waarde per baan (~€70.000/jaar): conform het ESB-artikel (2017).</t>
  </si>
  <si>
    <t xml:space="preserve">Maatschappelijke toets — AkzoNobel × Axalta (MOE), 2026</t>
  </si>
  <si>
    <t xml:space="preserve">Contante waarde in € mrd. Gele cellen = aanpasbare aannames. Methode naar ESB (2017).</t>
  </si>
  <si>
    <t xml:space="preserve">PARAMETERS (pas aan om scenario's te testen)</t>
  </si>
  <si>
    <t xml:space="preserve">Disconteringsvoet</t>
  </si>
  <si>
    <t xml:space="preserve">Horizon midden (jaren)</t>
  </si>
  <si>
    <t xml:space="preserve">Horizon extremen (jaren)</t>
  </si>
  <si>
    <t xml:space="preserve">Maatschappelijke waarde per baan (€/jaar)</t>
  </si>
  <si>
    <t xml:space="preserve">Annuïteitsfactor — midden</t>
  </si>
  <si>
    <t xml:space="preserve">Annuïteitsfactor — extremen</t>
  </si>
  <si>
    <t xml:space="preserve">BANEN-CALCULATOR (drijft de post 'Werknemers')</t>
  </si>
  <si>
    <t xml:space="preserve">Scenario</t>
  </si>
  <si>
    <t xml:space="preserve">Netto banen (#)</t>
  </si>
  <si>
    <t xml:space="preserve">Horizon-factor</t>
  </si>
  <si>
    <t xml:space="preserve">Effect (€ mrd)</t>
  </si>
  <si>
    <t xml:space="preserve">Onder (meeste banenverlies)</t>
  </si>
  <si>
    <t xml:space="preserve">Verwacht</t>
  </si>
  <si>
    <t xml:space="preserve">Boven (beste)</t>
  </si>
  <si>
    <t xml:space="preserve">MKBA — VIJF EFFECTEN (€ mrd, contante waarde)</t>
  </si>
  <si>
    <t xml:space="preserve">Effect</t>
  </si>
  <si>
    <t xml:space="preserve">Onder</t>
  </si>
  <si>
    <t xml:space="preserve">Boven</t>
  </si>
  <si>
    <t xml:space="preserve">Belangrijkste aannames</t>
  </si>
  <si>
    <t xml:space="preserve">Werknemers</t>
  </si>
  <si>
    <t xml:space="preserve">Synergie (~$600 mln) deels uit footprint/SG&amp;A → banenverlies. Aanname: ~2.000 netto banen (verwacht), tot ~5.000 (onder). Combined headcount 46.551. MOE → minder dan bij vijandige overname (10–20% bij overgenomen partij).</t>
  </si>
  <si>
    <t xml:space="preserve">Consumenten (prijzen)</t>
  </si>
  <si>
    <t xml:space="preserve">Complementaire portefeuilles → beperkte overlap; mededingingstoezicht remt prijseffect. Veel kleiner dan PPG (directe #1+#2). Aanname: prijsdruk op een kleine overlappende omzet, 0–2%.</t>
  </si>
  <si>
    <t xml:space="preserve">Klimaat (CO₂)</t>
  </si>
  <si>
    <t xml:space="preserve">Geen groot duurzaamheidsvoordeel dat erodeert (anders dan AkzoNobel vs. minder-groen PPG). Symmetrische profielen; schaal kan groene R&amp;D helpen (boven), integratie-afleiding kan schaden (onder). CO₂-prijs ~€110/ton.</t>
  </si>
  <si>
    <t xml:space="preserve">Aandeelhouders</t>
  </si>
  <si>
    <t xml:space="preserve">~$600 mln synergie gekapitaliseerd (~8×) ≈ €4–5 mrd bruto, minus integratiekosten en uitvoeringsrisico. Tegen: no-premium MOE en gemiste cash-premie (€73 vs ~€52); M&amp;A-literatuur is sceptisch. €2,5 mrd superdividend = transfer.</t>
  </si>
  <si>
    <t xml:space="preserve">Autonomie (NL)</t>
  </si>
  <si>
    <t xml:space="preserve">HQ deels naar Philadelphia, notering enkel NYSE (delisting Euronext), governance-gewicht verschuift. Mitigatie: NL-domicilie + 1 HQ Amsterdam + 55% behoud; basis al &gt;60% VS. Bestuur framet het als méér strategische onafhankelijkheid → hardst te monetariseren post, deels kwalitatief.</t>
  </si>
  <si>
    <t xml:space="preserve">TOTAAL</t>
  </si>
  <si>
    <t xml:space="preserve">Rijnlandse som T = F + S + M (alle stakeholders gelijk gewogen)</t>
  </si>
  <si>
    <t xml:space="preserve">Ter vergelijking: de PPG-overname (2017) had een verwacht totaal van ca. –€6 mrd (zelfde methode). Zie tab 'Vergelijking'.</t>
  </si>
  <si>
    <t xml:space="preserve">PPG-overname (2017) vs. Axalta-fusie (2026) — € mrd</t>
  </si>
  <si>
    <t xml:space="preserve">PPG 2017 — onder</t>
  </si>
  <si>
    <t xml:space="preserve">PPG 2017 — boven</t>
  </si>
  <si>
    <t xml:space="preserve">MOE 2026 — onder</t>
  </si>
  <si>
    <t xml:space="preserve">MOE 2026 — verwacht</t>
  </si>
  <si>
    <t xml:space="preserve">MOE 2026 — boven</t>
  </si>
  <si>
    <t xml:space="preserve">Waarom anders</t>
  </si>
  <si>
    <t xml:space="preserve">MOE i.p.v. opsplitsing → minder banenverlies; geen 10–20%-snit bij overgenomen partij.</t>
  </si>
  <si>
    <t xml:space="preserve">Complementair i.p.v. directe #1+#2 → veel kleiner prijseffect; mededingingstoezicht.</t>
  </si>
  <si>
    <t xml:space="preserve">Geen groot duurzaamheidsvoordeel dat verloren gaat; symmetrische profielen.</t>
  </si>
  <si>
    <t xml:space="preserve">Concrete $600 mln synergie → eerder positief; maar no-premium en gemiste cash-premie.</t>
  </si>
  <si>
    <t xml:space="preserve">n.v.t.</t>
  </si>
  <si>
    <t xml:space="preserve">–</t>
  </si>
  <si>
    <t xml:space="preserve">NIEUW in 2026: HQ deels VS + enkel-NYSE. Mitigatie: NL-domicilie, 1 HQ, 55%, basis al &gt;60% VS.</t>
  </si>
  <si>
    <t xml:space="preserve">PPG verwacht ≈ –€6 mrd; MOE verwacht ≈ licht negatief (≈ neutraal).</t>
  </si>
  <si>
    <t xml:space="preserve">Bron PPG-cijfers: Schoenmaker &amp; De Groot Ruiz e.a., ESB 4752 (10 aug 2017), kader 1. MOE-cijfers: tab 'MKBA 2026 MOE'.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</si>
</sst>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;\(#,##0\)"/>
    <numFmt numFmtId="167" formatCode="#,##0"/>
    <numFmt numFmtId="168" formatCode="0.00"/>
    <numFmt numFmtId="169" formatCode="#,##0.0;\(#,##0.0\);\–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6544A"/>
      <name val="Arial"/>
      <family val="0"/>
      <charset val="1"/>
    </font>
    <font>
      <b val="true"/>
      <sz val="11"/>
      <color rgb="FFE07A2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6544A"/>
      <name val="Arial"/>
      <family val="0"/>
      <charset val="1"/>
    </font>
    <font>
      <b val="true"/>
      <sz val="10"/>
      <color rgb="FFE07A2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6544A"/>
      <name val="Arial"/>
      <family val="0"/>
      <charset val="1"/>
    </font>
    <font>
      <sz val="9"/>
      <color rgb="FFE07A2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6544A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E07A28"/>
      <name val="Arial"/>
      <family val="0"/>
      <charset val="1"/>
    </font>
    <font>
      <sz val="9"/>
      <color rgb="FF5D6B6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544A"/>
        <bgColor rgb="FF333333"/>
      </patternFill>
    </fill>
    <fill>
      <patternFill patternType="solid">
        <fgColor rgb="FFFFF6CC"/>
        <bgColor rgb="FFFFFFFF"/>
      </patternFill>
    </fill>
    <fill>
      <patternFill patternType="solid">
        <fgColor rgb="FFDDE9E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6"/>
      <rgbColor rgb="FF878787"/>
      <rgbColor rgb="FF9999FF"/>
      <rgbColor rgb="FF993366"/>
      <rgbColor rgb="FFFFF6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9E4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E07A28"/>
      <rgbColor rgb="FF5D6B65"/>
      <rgbColor rgb="FF969696"/>
      <rgbColor rgb="FF1654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Verwachte maatschappelijke effecten (€ mrd)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'MKBA 2026 MOE'!$A$20:$A$24</c:f>
              <c:strCache>
                <c:ptCount val="5"/>
                <c:pt idx="0">
                  <c:v>Werknemers</c:v>
                </c:pt>
                <c:pt idx="1">
                  <c:v>Consumenten (prijzen)</c:v>
                </c:pt>
                <c:pt idx="2">
                  <c:v>Klimaat (CO₂)</c:v>
                </c:pt>
                <c:pt idx="3">
                  <c:v>Aandeelhouders</c:v>
                </c:pt>
                <c:pt idx="4">
                  <c:v>Autonomie (NL)</c:v>
                </c:pt>
              </c:strCache>
            </c:strRef>
          </c:cat>
          <c:val>
            <c:numRef>
              <c:f>'MKBA 2026 MOE'!$C$20:$C$24</c:f>
              <c:numCache>
                <c:formatCode>#,##0.0;\(#,##0.0\);\–</c:formatCode>
                <c:ptCount val="5"/>
                <c:pt idx="0">
                  <c:v>-0.520393776393452</c:v>
                </c:pt>
                <c:pt idx="1">
                  <c:v>-1</c:v>
                </c:pt>
                <c:pt idx="2">
                  <c:v>-0.3</c:v>
                </c:pt>
                <c:pt idx="3">
                  <c:v>1.5</c:v>
                </c:pt>
                <c:pt idx="4">
                  <c:v>-1</c:v>
                </c:pt>
              </c:numCache>
            </c:numRef>
          </c:val>
        </c:ser>
        <c:gapWidth val="150"/>
        <c:overlap val="0"/>
        <c:axId val="83086886"/>
        <c:axId val="12549174"/>
      </c:barChart>
      <c:catAx>
        <c:axId val="830868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49174"/>
        <c:crosses val="autoZero"/>
        <c:auto val="1"/>
        <c:lblAlgn val="ctr"/>
        <c:lblOffset val="100"/>
        <c:noMultiLvlLbl val="0"/>
      </c:catAx>
      <c:valAx>
        <c:axId val="125491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 mrd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868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15</xdr:col>
      <xdr:colOff>256320</xdr:colOff>
      <xdr:row>16</xdr:row>
      <xdr:rowOff>13320</xdr:rowOff>
    </xdr:to>
    <xdr:graphicFrame>
      <xdr:nvGraphicFramePr>
        <xdr:cNvPr id="0" name="Chart 1"/>
        <xdr:cNvGraphicFramePr/>
      </xdr:nvGraphicFramePr>
      <xdr:xfrm>
        <a:off x="10409040" y="571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5.05" hidden="false" customHeight="fals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46.25" hidden="false" customHeight="false" outlineLevel="0" collapsed="false">
      <c r="A8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46.25" hidden="false" customHeight="false" outlineLevel="0" collapsed="false">
      <c r="A11" s="4" t="s">
        <v>7</v>
      </c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4" t="s">
        <v>9</v>
      </c>
    </row>
    <row r="15" customFormat="false" ht="23.8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4" t="s">
        <v>11</v>
      </c>
    </row>
    <row r="17" customFormat="false" ht="15" hidden="false" customHeight="false" outlineLevel="0" collapsed="false">
      <c r="A17" s="4" t="s">
        <v>12</v>
      </c>
    </row>
    <row r="18" customFormat="false" ht="35.05" hidden="false" customHeight="false" outlineLevel="0" collapsed="false">
      <c r="A18" s="4" t="s">
        <v>13</v>
      </c>
    </row>
    <row r="20" customFormat="false" ht="15" hidden="false" customHeight="false" outlineLevel="0" collapsed="false">
      <c r="A20" s="3" t="s">
        <v>14</v>
      </c>
    </row>
    <row r="21" customFormat="false" ht="35.05" hidden="false" customHeight="false" outlineLevel="0" collapsed="false">
      <c r="A21" s="4" t="s">
        <v>15</v>
      </c>
    </row>
    <row r="23" customFormat="false" ht="15" hidden="false" customHeight="false" outlineLevel="0" collapsed="false">
      <c r="A23" s="3" t="s">
        <v>16</v>
      </c>
    </row>
    <row r="24" customFormat="false" ht="35.05" hidden="false" customHeight="false" outlineLevel="0" collapsed="false">
      <c r="A24" s="4" t="s">
        <v>17</v>
      </c>
    </row>
    <row r="26" customFormat="false" ht="15" hidden="false" customHeight="false" outlineLevel="0" collapsed="false">
      <c r="A26" s="3" t="s">
        <v>18</v>
      </c>
    </row>
    <row r="27" customFormat="false" ht="15" hidden="false" customHeight="false" outlineLevel="0" collapsed="false">
      <c r="A27" s="4" t="s">
        <v>19</v>
      </c>
    </row>
    <row r="28" customFormat="false" ht="23.85" hidden="false" customHeight="false" outlineLevel="0" collapsed="false">
      <c r="A28" s="4" t="s">
        <v>20</v>
      </c>
    </row>
    <row r="29" customFormat="false" ht="15" hidden="false" customHeight="false" outlineLevel="0" collapsed="false">
      <c r="A29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3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5" t="s">
        <v>22</v>
      </c>
      <c r="B1" s="5"/>
      <c r="C1" s="5"/>
      <c r="D1" s="5"/>
      <c r="E1" s="5"/>
    </row>
    <row r="2" customFormat="false" ht="15" hidden="false" customHeight="false" outlineLevel="0" collapsed="false">
      <c r="A2" s="6" t="s">
        <v>23</v>
      </c>
      <c r="B2" s="6"/>
      <c r="C2" s="6"/>
      <c r="D2" s="6"/>
      <c r="E2" s="6"/>
    </row>
    <row r="4" customFormat="false" ht="15" hidden="false" customHeight="false" outlineLevel="0" collapsed="false">
      <c r="A4" s="7" t="s">
        <v>24</v>
      </c>
      <c r="B4" s="7"/>
      <c r="C4" s="7"/>
      <c r="D4" s="7"/>
      <c r="E4" s="7"/>
    </row>
    <row r="5" customFormat="false" ht="15" hidden="false" customHeight="false" outlineLevel="0" collapsed="false">
      <c r="A5" s="8" t="s">
        <v>25</v>
      </c>
      <c r="B5" s="9" t="n">
        <v>0.03</v>
      </c>
    </row>
    <row r="6" customFormat="false" ht="15" hidden="false" customHeight="false" outlineLevel="0" collapsed="false">
      <c r="A6" s="8" t="s">
        <v>26</v>
      </c>
      <c r="B6" s="10" t="n">
        <v>4</v>
      </c>
    </row>
    <row r="7" customFormat="false" ht="15" hidden="false" customHeight="false" outlineLevel="0" collapsed="false">
      <c r="A7" s="8" t="s">
        <v>27</v>
      </c>
      <c r="B7" s="10" t="n">
        <v>8</v>
      </c>
    </row>
    <row r="8" customFormat="false" ht="15" hidden="false" customHeight="false" outlineLevel="0" collapsed="false">
      <c r="A8" s="8" t="s">
        <v>28</v>
      </c>
      <c r="B8" s="11" t="n">
        <v>70000</v>
      </c>
    </row>
    <row r="9" customFormat="false" ht="15" hidden="false" customHeight="false" outlineLevel="0" collapsed="false">
      <c r="A9" s="8" t="s">
        <v>29</v>
      </c>
      <c r="B9" s="12" t="n">
        <f aca="false">(1-(1+B5)^-B6)/B5</f>
        <v>3.71709840281037</v>
      </c>
    </row>
    <row r="10" customFormat="false" ht="15" hidden="false" customHeight="false" outlineLevel="0" collapsed="false">
      <c r="A10" s="8" t="s">
        <v>30</v>
      </c>
      <c r="B10" s="12" t="n">
        <f aca="false">(1-(1+B5)^-B7)/B5</f>
        <v>7.01969218953548</v>
      </c>
    </row>
    <row r="12" customFormat="false" ht="15" hidden="false" customHeight="false" outlineLevel="0" collapsed="false">
      <c r="A12" s="7" t="s">
        <v>31</v>
      </c>
      <c r="B12" s="7"/>
      <c r="C12" s="7"/>
      <c r="D12" s="7"/>
      <c r="E12" s="7"/>
    </row>
    <row r="13" customFormat="false" ht="15" hidden="false" customHeight="false" outlineLevel="0" collapsed="false">
      <c r="A13" s="13" t="s">
        <v>32</v>
      </c>
      <c r="B13" s="14" t="s">
        <v>33</v>
      </c>
      <c r="C13" s="14" t="s">
        <v>34</v>
      </c>
      <c r="D13" s="14" t="s">
        <v>35</v>
      </c>
    </row>
    <row r="14" customFormat="false" ht="15" hidden="false" customHeight="false" outlineLevel="0" collapsed="false">
      <c r="A14" s="15" t="s">
        <v>36</v>
      </c>
      <c r="B14" s="10" t="n">
        <v>-5000</v>
      </c>
      <c r="C14" s="12" t="n">
        <f aca="false">B10</f>
        <v>7.01969218953548</v>
      </c>
      <c r="D14" s="16" t="n">
        <f aca="false">B14*$B$8*C14/1000000000</f>
        <v>-2.45689226633742</v>
      </c>
    </row>
    <row r="15" customFormat="false" ht="15" hidden="false" customHeight="false" outlineLevel="0" collapsed="false">
      <c r="A15" s="15" t="s">
        <v>37</v>
      </c>
      <c r="B15" s="10" t="n">
        <v>-2000</v>
      </c>
      <c r="C15" s="12" t="n">
        <f aca="false">B9</f>
        <v>3.71709840281037</v>
      </c>
      <c r="D15" s="16" t="n">
        <f aca="false">B15*$B$8*C15/1000000000</f>
        <v>-0.520393776393452</v>
      </c>
    </row>
    <row r="16" customFormat="false" ht="15" hidden="false" customHeight="false" outlineLevel="0" collapsed="false">
      <c r="A16" s="15" t="s">
        <v>38</v>
      </c>
      <c r="B16" s="10" t="n">
        <v>500</v>
      </c>
      <c r="C16" s="12" t="n">
        <f aca="false">B10</f>
        <v>7.01969218953548</v>
      </c>
      <c r="D16" s="16" t="n">
        <f aca="false">B16*$B$8*C16/1000000000</f>
        <v>0.245689226633742</v>
      </c>
    </row>
    <row r="18" customFormat="false" ht="15" hidden="false" customHeight="false" outlineLevel="0" collapsed="false">
      <c r="A18" s="7" t="s">
        <v>39</v>
      </c>
      <c r="B18" s="7"/>
      <c r="C18" s="7"/>
      <c r="D18" s="7"/>
      <c r="E18" s="7"/>
    </row>
    <row r="19" customFormat="false" ht="15" hidden="false" customHeight="false" outlineLevel="0" collapsed="false">
      <c r="A19" s="17" t="s">
        <v>40</v>
      </c>
      <c r="B19" s="18" t="s">
        <v>41</v>
      </c>
      <c r="C19" s="18" t="s">
        <v>37</v>
      </c>
      <c r="D19" s="18" t="s">
        <v>42</v>
      </c>
      <c r="E19" s="17" t="s">
        <v>43</v>
      </c>
    </row>
    <row r="20" customFormat="false" ht="43.25" hidden="false" customHeight="false" outlineLevel="0" collapsed="false">
      <c r="A20" s="15" t="s">
        <v>44</v>
      </c>
      <c r="B20" s="16" t="n">
        <f aca="false">D14</f>
        <v>-2.45689226633742</v>
      </c>
      <c r="C20" s="16" t="n">
        <f aca="false">D15</f>
        <v>-0.520393776393452</v>
      </c>
      <c r="D20" s="16" t="n">
        <f aca="false">D16</f>
        <v>0.245689226633742</v>
      </c>
      <c r="E20" s="19" t="s">
        <v>45</v>
      </c>
    </row>
    <row r="21" customFormat="false" ht="32.8" hidden="false" customHeight="false" outlineLevel="0" collapsed="false">
      <c r="A21" s="15" t="s">
        <v>46</v>
      </c>
      <c r="B21" s="20" t="n">
        <v>-5</v>
      </c>
      <c r="C21" s="20" t="n">
        <v>-1</v>
      </c>
      <c r="D21" s="20" t="n">
        <v>0</v>
      </c>
      <c r="E21" s="19" t="s">
        <v>47</v>
      </c>
    </row>
    <row r="22" customFormat="false" ht="32.8" hidden="false" customHeight="false" outlineLevel="0" collapsed="false">
      <c r="A22" s="15" t="s">
        <v>48</v>
      </c>
      <c r="B22" s="20" t="n">
        <v>-2</v>
      </c>
      <c r="C22" s="20" t="n">
        <v>-0.3</v>
      </c>
      <c r="D22" s="20" t="n">
        <v>1</v>
      </c>
      <c r="E22" s="19" t="s">
        <v>49</v>
      </c>
    </row>
    <row r="23" customFormat="false" ht="43.25" hidden="false" customHeight="false" outlineLevel="0" collapsed="false">
      <c r="A23" s="15" t="s">
        <v>50</v>
      </c>
      <c r="B23" s="20" t="n">
        <v>-2</v>
      </c>
      <c r="C23" s="20" t="n">
        <v>1.5</v>
      </c>
      <c r="D23" s="20" t="n">
        <v>4</v>
      </c>
      <c r="E23" s="19" t="s">
        <v>51</v>
      </c>
    </row>
    <row r="24" customFormat="false" ht="43.25" hidden="false" customHeight="false" outlineLevel="0" collapsed="false">
      <c r="A24" s="15" t="s">
        <v>52</v>
      </c>
      <c r="B24" s="20" t="n">
        <v>-3</v>
      </c>
      <c r="C24" s="20" t="n">
        <v>-1</v>
      </c>
      <c r="D24" s="20" t="n">
        <v>-0.1</v>
      </c>
      <c r="E24" s="19" t="s">
        <v>53</v>
      </c>
    </row>
    <row r="25" customFormat="false" ht="15" hidden="false" customHeight="false" outlineLevel="0" collapsed="false">
      <c r="A25" s="21" t="s">
        <v>54</v>
      </c>
      <c r="B25" s="22" t="n">
        <f aca="false">SUM(B20:B24)</f>
        <v>-14.4568922663374</v>
      </c>
      <c r="C25" s="22" t="n">
        <f aca="false">SUM(C20:C24)</f>
        <v>-1.32039377639345</v>
      </c>
      <c r="D25" s="22" t="n">
        <f aca="false">SUM(D20:D24)</f>
        <v>5.14568922663374</v>
      </c>
      <c r="E25" s="19" t="s">
        <v>55</v>
      </c>
    </row>
    <row r="27" customFormat="false" ht="15" hidden="false" customHeight="false" outlineLevel="0" collapsed="false">
      <c r="A27" s="23" t="s">
        <v>56</v>
      </c>
      <c r="B27" s="23"/>
      <c r="C27" s="23"/>
      <c r="D27" s="23"/>
      <c r="E27" s="23"/>
    </row>
  </sheetData>
  <mergeCells count="6">
    <mergeCell ref="A1:E1"/>
    <mergeCell ref="A2:E2"/>
    <mergeCell ref="A4:E4"/>
    <mergeCell ref="A12:E12"/>
    <mergeCell ref="A18:E18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16.15" hidden="false" customHeight="false" outlineLevel="0" collapsed="false">
      <c r="A1" s="24" t="s">
        <v>57</v>
      </c>
      <c r="B1" s="24"/>
      <c r="C1" s="24"/>
      <c r="D1" s="24"/>
      <c r="E1" s="24"/>
      <c r="F1" s="24"/>
      <c r="G1" s="24"/>
    </row>
    <row r="3" customFormat="false" ht="23.85" hidden="false" customHeight="false" outlineLevel="0" collapsed="false">
      <c r="A3" s="17" t="s">
        <v>40</v>
      </c>
      <c r="B3" s="18" t="s">
        <v>58</v>
      </c>
      <c r="C3" s="18" t="s">
        <v>59</v>
      </c>
      <c r="D3" s="18" t="s">
        <v>60</v>
      </c>
      <c r="E3" s="18" t="s">
        <v>61</v>
      </c>
      <c r="F3" s="18" t="s">
        <v>62</v>
      </c>
      <c r="G3" s="17" t="s">
        <v>63</v>
      </c>
    </row>
    <row r="4" customFormat="false" ht="22.35" hidden="false" customHeight="false" outlineLevel="0" collapsed="false">
      <c r="A4" s="15" t="s">
        <v>44</v>
      </c>
      <c r="B4" s="16" t="n">
        <v>-4.6</v>
      </c>
      <c r="C4" s="16" t="n">
        <v>1.5</v>
      </c>
      <c r="D4" s="25" t="n">
        <f aca="false">'MKBA 2026 MOE'!B20</f>
        <v>-2.45689226633742</v>
      </c>
      <c r="E4" s="25" t="n">
        <f aca="false">'MKBA 2026 MOE'!C20</f>
        <v>-0.520393776393452</v>
      </c>
      <c r="F4" s="25" t="n">
        <f aca="false">'MKBA 2026 MOE'!D20</f>
        <v>0.245689226633742</v>
      </c>
      <c r="G4" s="19" t="s">
        <v>64</v>
      </c>
    </row>
    <row r="5" customFormat="false" ht="22.35" hidden="false" customHeight="false" outlineLevel="0" collapsed="false">
      <c r="A5" s="15" t="s">
        <v>46</v>
      </c>
      <c r="B5" s="16" t="n">
        <v>-14.8</v>
      </c>
      <c r="C5" s="16" t="n">
        <v>0</v>
      </c>
      <c r="D5" s="25" t="n">
        <f aca="false">'MKBA 2026 MOE'!B21</f>
        <v>-5</v>
      </c>
      <c r="E5" s="25" t="n">
        <f aca="false">'MKBA 2026 MOE'!C21</f>
        <v>-1</v>
      </c>
      <c r="F5" s="25" t="n">
        <f aca="false">'MKBA 2026 MOE'!D21</f>
        <v>0</v>
      </c>
      <c r="G5" s="19" t="s">
        <v>65</v>
      </c>
    </row>
    <row r="6" customFormat="false" ht="22.35" hidden="false" customHeight="false" outlineLevel="0" collapsed="false">
      <c r="A6" s="15" t="s">
        <v>48</v>
      </c>
      <c r="B6" s="16" t="n">
        <v>-7.2</v>
      </c>
      <c r="C6" s="16" t="n">
        <v>0.7</v>
      </c>
      <c r="D6" s="25" t="n">
        <f aca="false">'MKBA 2026 MOE'!B22</f>
        <v>-2</v>
      </c>
      <c r="E6" s="25" t="n">
        <f aca="false">'MKBA 2026 MOE'!C22</f>
        <v>-0.3</v>
      </c>
      <c r="F6" s="25" t="n">
        <f aca="false">'MKBA 2026 MOE'!D22</f>
        <v>1</v>
      </c>
      <c r="G6" s="19" t="s">
        <v>66</v>
      </c>
    </row>
    <row r="7" customFormat="false" ht="22.35" hidden="false" customHeight="false" outlineLevel="0" collapsed="false">
      <c r="A7" s="15" t="s">
        <v>50</v>
      </c>
      <c r="B7" s="16" t="n">
        <v>-3.4</v>
      </c>
      <c r="C7" s="16" t="n">
        <v>3.2</v>
      </c>
      <c r="D7" s="25" t="n">
        <f aca="false">'MKBA 2026 MOE'!B23</f>
        <v>-2</v>
      </c>
      <c r="E7" s="25" t="n">
        <f aca="false">'MKBA 2026 MOE'!C23</f>
        <v>1.5</v>
      </c>
      <c r="F7" s="25" t="n">
        <f aca="false">'MKBA 2026 MOE'!D23</f>
        <v>4</v>
      </c>
      <c r="G7" s="19" t="s">
        <v>67</v>
      </c>
    </row>
    <row r="8" customFormat="false" ht="22.35" hidden="false" customHeight="false" outlineLevel="0" collapsed="false">
      <c r="A8" s="15" t="s">
        <v>52</v>
      </c>
      <c r="B8" s="26" t="s">
        <v>68</v>
      </c>
      <c r="C8" s="26" t="s">
        <v>69</v>
      </c>
      <c r="D8" s="25" t="n">
        <f aca="false">'MKBA 2026 MOE'!B24</f>
        <v>-3</v>
      </c>
      <c r="E8" s="25" t="n">
        <f aca="false">'MKBA 2026 MOE'!C24</f>
        <v>-1</v>
      </c>
      <c r="F8" s="25" t="n">
        <f aca="false">'MKBA 2026 MOE'!D24</f>
        <v>-0.1</v>
      </c>
      <c r="G8" s="19" t="s">
        <v>70</v>
      </c>
    </row>
    <row r="9" customFormat="false" ht="22.35" hidden="false" customHeight="false" outlineLevel="0" collapsed="false">
      <c r="A9" s="21" t="s">
        <v>54</v>
      </c>
      <c r="B9" s="27" t="n">
        <v>-30</v>
      </c>
      <c r="C9" s="27" t="n">
        <v>5</v>
      </c>
      <c r="D9" s="28" t="n">
        <f aca="false">'MKBA 2026 MOE'!B25</f>
        <v>-14.4568922663374</v>
      </c>
      <c r="E9" s="28" t="n">
        <f aca="false">'MKBA 2026 MOE'!C25</f>
        <v>-1.32039377639345</v>
      </c>
      <c r="F9" s="28" t="n">
        <f aca="false">'MKBA 2026 MOE'!D25</f>
        <v>5.14568922663374</v>
      </c>
      <c r="G9" s="29" t="s">
        <v>71</v>
      </c>
    </row>
    <row r="11" customFormat="false" ht="15" hidden="false" customHeight="false" outlineLevel="0" collapsed="false">
      <c r="A11" s="30" t="s">
        <v>72</v>
      </c>
      <c r="B11" s="30"/>
      <c r="C11" s="30"/>
      <c r="D11" s="30"/>
      <c r="E11" s="30"/>
      <c r="F11" s="30"/>
      <c r="G11" s="30"/>
    </row>
  </sheetData>
  <mergeCells count="2">
    <mergeCell ref="A1:G1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2026-06-03T15:18:57Z</dcterms:created>
  <dc:creator>openpyxl</dc:creator>
  <dc:description/>
  <dc:language>en-US</dc:language>
  <cp:lastModifiedBy/>
  <dcterms:modified xsi:type="dcterms:W3CDTF">2026-06-03T15:19:02Z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