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zicht" sheetId="1" state="visible" r:id="rId3"/>
    <sheet name="Slide 08 - W&amp;V vb" sheetId="2" state="visible" r:id="rId4"/>
    <sheet name="Slide 10 - Balans vb" sheetId="3" state="visible" r:id="rId5"/>
    <sheet name="Slide 12 - Kasstroom vb" sheetId="4" state="visible" r:id="rId6"/>
    <sheet name="Slide 09 - W&amp;V Alliander" sheetId="5" state="visible" r:id="rId7"/>
    <sheet name="Slide 11 - Balans Alliander" sheetId="6" state="visible" r:id="rId8"/>
    <sheet name="Slide 13 - Kasstr. Alliander" sheetId="7" state="visible" r:id="rId9"/>
    <sheet name="Slide 14 - Kerngetallen vb" sheetId="8" state="visible" r:id="rId10"/>
    <sheet name="Slide 15 - Kerngetallen All" sheetId="9" state="visible" r:id="rId11"/>
    <sheet name="Slide 16 - AkzoNobel waarde" sheetId="10" state="visible" r:id="rId12"/>
    <sheet name="Slide 17 - Markt vs fund." sheetId="11" state="visible" r:id="rId13"/>
    <sheet name="Slide 18-19 - Referentie" sheetId="12" state="visible" r:id="rId14"/>
    <sheet name="Slide 21 - IP&amp;L Alliander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<sst xmlns="http://schemas.openxmlformats.org/spreadsheetml/2006/main" count="293" uniqueCount="203">
  <si>
    <t xml:space="preserve">Validatie — alle getallen uit de presentatie</t>
  </si>
  <si>
    <t xml:space="preserve">Eén tab per slide met getallen. Blauw = invoer (zoals op de slide). Zwart = herberekend met formule. Kolom ✓ = OK of CHECK.</t>
  </si>
  <si>
    <t xml:space="preserve">Slide</t>
  </si>
  <si>
    <t xml:space="preserve">Onderwerp</t>
  </si>
  <si>
    <t xml:space="preserve">Afwijkingen</t>
  </si>
  <si>
    <t xml:space="preserve">Status</t>
  </si>
  <si>
    <t xml:space="preserve">08</t>
  </si>
  <si>
    <t xml:space="preserve">W&amp;V — voorbeeld</t>
  </si>
  <si>
    <t xml:space="preserve">09</t>
  </si>
  <si>
    <t xml:space="preserve">W&amp;V — Alliander (2025/2024)</t>
  </si>
  <si>
    <t xml:space="preserve">10</t>
  </si>
  <si>
    <t xml:space="preserve">Balans — voorbeeld</t>
  </si>
  <si>
    <t xml:space="preserve">11</t>
  </si>
  <si>
    <t xml:space="preserve">Balans — Alliander (2025/2024)</t>
  </si>
  <si>
    <t xml:space="preserve">12</t>
  </si>
  <si>
    <t xml:space="preserve">Kasstroom — voorbeeld</t>
  </si>
  <si>
    <t xml:space="preserve">13</t>
  </si>
  <si>
    <t xml:space="preserve">Kasstroom — Alliander (2025/2024)</t>
  </si>
  <si>
    <t xml:space="preserve">14</t>
  </si>
  <si>
    <t xml:space="preserve">Kerngetallen &amp; ratio's — voorbeeld</t>
  </si>
  <si>
    <t xml:space="preserve">15</t>
  </si>
  <si>
    <t xml:space="preserve">Kerngetallen &amp; ratio's — Alliander</t>
  </si>
  <si>
    <t xml:space="preserve">16</t>
  </si>
  <si>
    <t xml:space="preserve">Waarde — AkzoNobel FY2025</t>
  </si>
  <si>
    <t xml:space="preserve">17</t>
  </si>
  <si>
    <t xml:space="preserve">Markt- vs fundamentele waarde</t>
  </si>
  <si>
    <t xml:space="preserve">18-19</t>
  </si>
  <si>
    <t xml:space="preserve">Referentiegetallen (synergie, €6 mrd)</t>
  </si>
  <si>
    <t xml:space="preserve">—</t>
  </si>
  <si>
    <t xml:space="preserve">invoer/totalen (geen afleiding)</t>
  </si>
  <si>
    <t xml:space="preserve">21</t>
  </si>
  <si>
    <t xml:space="preserve">IP&amp;L — Alliander (6 kapitalen)</t>
  </si>
  <si>
    <t xml:space="preserve">Totaal afwijkingen</t>
  </si>
  <si>
    <t xml:space="preserve">Regel</t>
  </si>
  <si>
    <t xml:space="preserve">Op slide</t>
  </si>
  <si>
    <t xml:space="preserve">Herberekend</t>
  </si>
  <si>
    <t xml:space="preserve">✓</t>
  </si>
  <si>
    <t xml:space="preserve">Toelichting</t>
  </si>
  <si>
    <t xml:space="preserve">Omzet</t>
  </si>
  <si>
    <t xml:space="preserve">Operationele kosten</t>
  </si>
  <si>
    <t xml:space="preserve">EBITDA</t>
  </si>
  <si>
    <t xml:space="preserve">→ omzet + operationele kosten</t>
  </si>
  <si>
    <t xml:space="preserve">Afschrijvingen</t>
  </si>
  <si>
    <t xml:space="preserve">EBIT (bedrijfsresultaat)</t>
  </si>
  <si>
    <t xml:space="preserve">→ EBITDA + afschrijvingen</t>
  </si>
  <si>
    <t xml:space="preserve">Rente + belasting</t>
  </si>
  <si>
    <t xml:space="preserve">Nettowinst</t>
  </si>
  <si>
    <t xml:space="preserve">→ EBIT + rente en belasting</t>
  </si>
  <si>
    <t xml:space="preserve">ACTIVA (€ mln)</t>
  </si>
  <si>
    <t xml:space="preserve">Vaste activa</t>
  </si>
  <si>
    <t xml:space="preserve">→ MVA + IVA</t>
  </si>
  <si>
    <t xml:space="preserve">  Materiële vaste activa</t>
  </si>
  <si>
    <t xml:space="preserve">  Immateriële vaste activa</t>
  </si>
  <si>
    <t xml:space="preserve">Vlottende activa</t>
  </si>
  <si>
    <t xml:space="preserve">→ voorraad + debiteuren + liquide</t>
  </si>
  <si>
    <t xml:space="preserve">  Voorraad</t>
  </si>
  <si>
    <t xml:space="preserve">  Debiteuren</t>
  </si>
  <si>
    <t xml:space="preserve">  Liquide middelen</t>
  </si>
  <si>
    <t xml:space="preserve">Totaal activa</t>
  </si>
  <si>
    <t xml:space="preserve">→ vaste + vlottende activa</t>
  </si>
  <si>
    <t xml:space="preserve">PASSIVA (€ mln)</t>
  </si>
  <si>
    <t xml:space="preserve">Eigen vermogen</t>
  </si>
  <si>
    <t xml:space="preserve">Langlopende schulden</t>
  </si>
  <si>
    <t xml:space="preserve">→ banklening</t>
  </si>
  <si>
    <t xml:space="preserve">  Banklening</t>
  </si>
  <si>
    <t xml:space="preserve">Kortlopende schulden</t>
  </si>
  <si>
    <t xml:space="preserve">→ crediteuren + overige</t>
  </si>
  <si>
    <t xml:space="preserve">  Crediteuren</t>
  </si>
  <si>
    <t xml:space="preserve">  Overige</t>
  </si>
  <si>
    <t xml:space="preserve">Totaal passiva</t>
  </si>
  <si>
    <t xml:space="preserve">→ EV + langlopend + kortlopend</t>
  </si>
  <si>
    <t xml:space="preserve">Balans sluit (activa = passiva)?</t>
  </si>
  <si>
    <t xml:space="preserve">verschil moet 0 zijn</t>
  </si>
  <si>
    <t xml:space="preserve">Buffer = solvabiliteit (EV/balans)</t>
  </si>
  <si>
    <t xml:space="preserve">45,8% ≈ 46% op slide</t>
  </si>
  <si>
    <t xml:space="preserve">+ Afschrijvingen</t>
  </si>
  <si>
    <t xml:space="preserve">- Mutatie werkkapitaal</t>
  </si>
  <si>
    <t xml:space="preserve">Operationele kasstroom</t>
  </si>
  <si>
    <t xml:space="preserve">→ winst + afschr − werkkapitaal</t>
  </si>
  <si>
    <t xml:space="preserve">Investeringen</t>
  </si>
  <si>
    <t xml:space="preserve">Kasstroom investeringen</t>
  </si>
  <si>
    <t xml:space="preserve">→ investeringen</t>
  </si>
  <si>
    <t xml:space="preserve">Opgenomen lening</t>
  </si>
  <si>
    <t xml:space="preserve">Betaald dividend</t>
  </si>
  <si>
    <t xml:space="preserve">Kasstroom financiering</t>
  </si>
  <si>
    <t xml:space="preserve">→ lening − dividend</t>
  </si>
  <si>
    <t xml:space="preserve">Netto kasmutatie</t>
  </si>
  <si>
    <t xml:space="preserve">→ operationeel + investeren + financieren</t>
  </si>
  <si>
    <t xml:space="preserve">2025 op slide</t>
  </si>
  <si>
    <t xml:space="preserve">2025 herber.</t>
  </si>
  <si>
    <t xml:space="preserve">✓ '25</t>
  </si>
  <si>
    <t xml:space="preserve">2024 op slide</t>
  </si>
  <si>
    <t xml:space="preserve">2024 herber.</t>
  </si>
  <si>
    <t xml:space="preserve">✓ '24</t>
  </si>
  <si>
    <t xml:space="preserve">Netto-omzet</t>
  </si>
  <si>
    <t xml:space="preserve">Overige baten (incl. desinvest.)</t>
  </si>
  <si>
    <t xml:space="preserve">2024 incl. €757 mln boekwinst Kenter</t>
  </si>
  <si>
    <t xml:space="preserve">Totaal bedrijfsopbrengsten</t>
  </si>
  <si>
    <t xml:space="preserve">→ netto-omzet + overige baten</t>
  </si>
  <si>
    <t xml:space="preserve">Bedrijfskosten excl. afschr.</t>
  </si>
  <si>
    <t xml:space="preserve">→ bedrijfsopbrengsten + bedrijfskosten</t>
  </si>
  <si>
    <t xml:space="preserve">Bedrijfsresultaat (EBIT)</t>
  </si>
  <si>
    <t xml:space="preserve">Financieel, belasting &amp; overig</t>
  </si>
  <si>
    <t xml:space="preserve">Nettoresultaat</t>
  </si>
  <si>
    <t xml:space="preserve">→ EBIT + financieel/belasting</t>
  </si>
  <si>
    <t xml:space="preserve">Materiële vaste activa (het net)</t>
  </si>
  <si>
    <t xml:space="preserve">Overige vaste activa</t>
  </si>
  <si>
    <t xml:space="preserve">Totaal vaste activa</t>
  </si>
  <si>
    <t xml:space="preserve">→ MVA + overige vaste activa</t>
  </si>
  <si>
    <t xml:space="preserve">zie controle bij totaal activa 2024</t>
  </si>
  <si>
    <t xml:space="preserve">Eigen vermogen *</t>
  </si>
  <si>
    <t xml:space="preserve">* incl. ~€1,0 mrd eeuwigdurende obligaties</t>
  </si>
  <si>
    <t xml:space="preserve">Langlopende schuld</t>
  </si>
  <si>
    <t xml:space="preserve">Vooruitontvangen opbrengsten</t>
  </si>
  <si>
    <t xml:space="preserve">Overige verplichtingen</t>
  </si>
  <si>
    <t xml:space="preserve">→ EV + schulden + verplichtingen</t>
  </si>
  <si>
    <t xml:space="preserve">Solvabiliteit (EV / balanstotaal)</t>
  </si>
  <si>
    <t xml:space="preserve">43,8% ≈ 44% op slide (2025)</t>
  </si>
  <si>
    <t xml:space="preserve">Operationele activiteiten</t>
  </si>
  <si>
    <t xml:space="preserve">Investeringen materiële activa</t>
  </si>
  <si>
    <t xml:space="preserve">Overige investeringen (netto)</t>
  </si>
  <si>
    <t xml:space="preserve">2024 hoog: Kenter-opbrengst €919 mln</t>
  </si>
  <si>
    <t xml:space="preserve">Kasstroom investeringsactiviteiten</t>
  </si>
  <si>
    <t xml:space="preserve">→ investeringen + overige</t>
  </si>
  <si>
    <t xml:space="preserve">Kasstroom financieringsactiviteiten</t>
  </si>
  <si>
    <t xml:space="preserve">2025: groene obligatie €992 mln</t>
  </si>
  <si>
    <t xml:space="preserve">Nettokasstroom</t>
  </si>
  <si>
    <t xml:space="preserve">Liquide middelen 31 dec.</t>
  </si>
  <si>
    <t xml:space="preserve">saldo (vereist beginstand voor afleiding)</t>
  </si>
  <si>
    <t xml:space="preserve">KERNGETALLEN (€ mln)</t>
  </si>
  <si>
    <t xml:space="preserve">bron: W&amp;V (slide 8)</t>
  </si>
  <si>
    <t xml:space="preserve">Opex (operationele kosten)</t>
  </si>
  <si>
    <t xml:space="preserve">→ |operationele kosten| (slide 8)</t>
  </si>
  <si>
    <t xml:space="preserve">Capex (investeringen)</t>
  </si>
  <si>
    <t xml:space="preserve">→ |investeringen| (slide 12)</t>
  </si>
  <si>
    <t xml:space="preserve">Liquide middelen</t>
  </si>
  <si>
    <t xml:space="preserve">bron: balans (slide 10)</t>
  </si>
  <si>
    <t xml:space="preserve">Vreemd vermogen</t>
  </si>
  <si>
    <t xml:space="preserve">→ balanstotaal − EV</t>
  </si>
  <si>
    <t xml:space="preserve">Balanstotaal</t>
  </si>
  <si>
    <t xml:space="preserve">KERNRATIO'S</t>
  </si>
  <si>
    <t xml:space="preserve">EBITDA-marge (EBITDA/omzet)</t>
  </si>
  <si>
    <t xml:space="preserve">15 / 150 = 10%</t>
  </si>
  <si>
    <t xml:space="preserve">Nettomarge (resultaat/omzet)</t>
  </si>
  <si>
    <t xml:space="preserve">7,5 / 150 = 5%</t>
  </si>
  <si>
    <t xml:space="preserve">Solvabiliteit (EV/balanstotaal)</t>
  </si>
  <si>
    <t xml:space="preserve">55 / 120 = 45,8% ≈ 46%</t>
  </si>
  <si>
    <t xml:space="preserve">Net debt / EBITDA</t>
  </si>
  <si>
    <t xml:space="preserve">(banklening 35 − liquide 25)/15 = 0,67</t>
  </si>
  <si>
    <t xml:space="preserve">Current ratio (vlottend/kortlopend)</t>
  </si>
  <si>
    <t xml:space="preserve">70 / 30 = 2,33</t>
  </si>
  <si>
    <t xml:space="preserve">KERNGETALLEN (€ mln) — 2025</t>
  </si>
  <si>
    <t xml:space="preserve">bron: W&amp;V (slide 9)</t>
  </si>
  <si>
    <t xml:space="preserve">→ |bedrijfskosten| (slide 9)</t>
  </si>
  <si>
    <t xml:space="preserve">→ |investeringen mat. activa| (slide 13)</t>
  </si>
  <si>
    <t xml:space="preserve">bron: kasstroom (slide 13)</t>
  </si>
  <si>
    <t xml:space="preserve">bron: balans (slide 11)</t>
  </si>
  <si>
    <t xml:space="preserve">KERNRATIO'S — 2025</t>
  </si>
  <si>
    <t xml:space="preserve">EBITDA-marge</t>
  </si>
  <si>
    <t xml:space="preserve">1.069 / 3.273 = 32,7%</t>
  </si>
  <si>
    <t xml:space="preserve">Nettomarge</t>
  </si>
  <si>
    <t xml:space="preserve">289 / 3.273 = 8,8%</t>
  </si>
  <si>
    <t xml:space="preserve">Solvabiliteit</t>
  </si>
  <si>
    <t xml:space="preserve">6.203 / 14.163 = 43,8% ≈ 44%</t>
  </si>
  <si>
    <t xml:space="preserve">Net debt / EBITDA (~4)</t>
  </si>
  <si>
    <t xml:space="preserve">(langlopende schuld 4.568 − liquide 307)/1.069 ≈ 4</t>
  </si>
  <si>
    <t xml:space="preserve">Omzet (~€10,2 mrd)</t>
  </si>
  <si>
    <t xml:space="preserve">FY2025, ~ afgerond</t>
  </si>
  <si>
    <t xml:space="preserve">Adj. EBITDA</t>
  </si>
  <si>
    <t xml:space="preserve">FY2025 (€ mln)</t>
  </si>
  <si>
    <t xml:space="preserve">Adj. EBITDA-marge (afgeleid)</t>
  </si>
  <si>
    <t xml:space="preserve">1.444 / 10.200 ≈ 14,2%</t>
  </si>
  <si>
    <t xml:space="preserve">Gecombineerde EV (~$25 mrd)</t>
  </si>
  <si>
    <t xml:space="preserve">indicatief, fusie ($ mln)</t>
  </si>
  <si>
    <t xml:space="preserve">Beurskoers (~€52)</t>
  </si>
  <si>
    <t xml:space="preserve">indicatief, per aandeel</t>
  </si>
  <si>
    <t xml:space="preserve">Cash-bod</t>
  </si>
  <si>
    <t xml:space="preserve">per aandeel — afgewezen</t>
  </si>
  <si>
    <t xml:space="preserve">Premie bod t.o.v. koers (afgeleid)</t>
  </si>
  <si>
    <t xml:space="preserve">(73 − 52)/52 ≈ 40%</t>
  </si>
  <si>
    <t xml:space="preserve">Slide 18 — synergie (~$600 mln/jaar)</t>
  </si>
  <si>
    <t xml:space="preserve">verwachte jaarlijkse synergie (casus)</t>
  </si>
  <si>
    <t xml:space="preserve">Slide 19 — maatsch. waardeverlies opsplitsing (~€6 mrd)</t>
  </si>
  <si>
    <t xml:space="preserve">Schoenmaker &amp; De Groot Ruiz, bod 2017 (€ mln)</t>
  </si>
  <si>
    <t xml:space="preserve">Kapitaal</t>
  </si>
  <si>
    <t xml:space="preserve">Positief (+)</t>
  </si>
  <si>
    <t xml:space="preserve">Negatief (−)</t>
  </si>
  <si>
    <t xml:space="preserve">Financieel · resultaat</t>
  </si>
  <si>
    <t xml:space="preserve">Nettoresultaat 2025</t>
  </si>
  <si>
    <t xml:space="preserve">Geproduceerd · energietransport → welzijn</t>
  </si>
  <si>
    <t xml:space="preserve">Baten elektr/gas/zakelijk/zon; lasten inkoop</t>
  </si>
  <si>
    <t xml:space="preserve">Intellectueel · data &amp; marktfacilitering</t>
  </si>
  <si>
    <t xml:space="preserve">Menselijk · welzijn werk vs. arbeid</t>
  </si>
  <si>
    <t xml:space="preserve">Arbeid + veiligheid</t>
  </si>
  <si>
    <t xml:space="preserve">Sociaal · cohesie (n.g.) vs. privacy</t>
  </si>
  <si>
    <t xml:space="preserve">cohesie niet gekwantificeerd</t>
  </si>
  <si>
    <t xml:space="preserve">Natuurlijk · klimaat, materialen, afval</t>
  </si>
  <si>
    <t xml:space="preserve">CO₂ 265 + materialen 27 + afval/biodiv 2</t>
  </si>
  <si>
    <t xml:space="preserve">Totaal positief</t>
  </si>
  <si>
    <t xml:space="preserve">som van alle positieve posten</t>
  </si>
  <si>
    <t xml:space="preserve">Totaal negatief</t>
  </si>
  <si>
    <t xml:space="preserve">som van alle negatieve posten</t>
  </si>
  <si>
    <t xml:space="preserve">Netto integrale bijdrage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</si>
</sst>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"/>
    <numFmt numFmtId="167" formatCode="#,##0.0"/>
    <numFmt numFmtId="168" formatCode="0.0%"/>
    <numFmt numFmtId="169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2A4D36"/>
      <name val="Arial"/>
      <family val="0"/>
      <charset val="1"/>
    </font>
    <font>
      <i val="true"/>
      <sz val="9"/>
      <color rgb="FF6E6A6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F2A2A"/>
      <name val="Arial"/>
      <family val="0"/>
      <charset val="1"/>
    </font>
    <font>
      <sz val="10"/>
      <color rgb="FF2F2A2A"/>
      <name val="Arial"/>
      <family val="0"/>
      <charset val="1"/>
    </font>
    <font>
      <b val="true"/>
      <sz val="11"/>
      <color rgb="FF2A4D36"/>
      <name val="Arial"/>
      <family val="0"/>
      <charset val="1"/>
    </font>
    <font>
      <b val="true"/>
      <sz val="11"/>
      <color rgb="FFFC5901"/>
      <name val="Arial"/>
      <family val="0"/>
      <charset val="1"/>
    </font>
    <font>
      <sz val="10"/>
      <color rgb="FF0F3FCB"/>
      <name val="Arial"/>
      <family val="0"/>
      <charset val="1"/>
    </font>
    <font>
      <b val="true"/>
      <sz val="10"/>
      <color rgb="FF2A4D3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A4D36"/>
        <bgColor rgb="FF2F2A2A"/>
      </patternFill>
    </fill>
    <fill>
      <patternFill patternType="solid">
        <fgColor rgb="FFECF0E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F0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C5901"/>
      <rgbColor rgb="FF6E6A6A"/>
      <rgbColor rgb="FF969696"/>
      <rgbColor rgb="FF003366"/>
      <rgbColor rgb="FF339966"/>
      <rgbColor rgb="FF003300"/>
      <rgbColor rgb="FF2A4D36"/>
      <rgbColor rgb="FF993300"/>
      <rgbColor rgb="FF993366"/>
      <rgbColor rgb="FF0F3FCB"/>
      <rgbColor rgb="FF2F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42"/>
    <col collapsed="false" customWidth="true" hidden="false" outlineLevel="0" max="4" min="4" style="1" width="12"/>
    <col collapsed="false" customWidth="true" hidden="false" outlineLevel="0" max="5" min="5" style="1" width="40"/>
  </cols>
  <sheetData>
    <row r="2" customFormat="false" ht="18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" hidden="false" customHeight="true" outlineLevel="0" collapsed="false">
      <c r="B5" s="4" t="s">
        <v>2</v>
      </c>
      <c r="C5" s="5" t="s">
        <v>3</v>
      </c>
      <c r="D5" s="4" t="s">
        <v>4</v>
      </c>
      <c r="E5" s="5" t="s">
        <v>5</v>
      </c>
    </row>
    <row r="6" customFormat="false" ht="15" hidden="false" customHeight="true" outlineLevel="0" collapsed="false">
      <c r="B6" s="6" t="s">
        <v>6</v>
      </c>
      <c r="C6" s="7" t="s">
        <v>7</v>
      </c>
      <c r="D6" s="8" t="n">
        <f aca="false">COUNTIF('Slide 08 - W&amp;V vb'!D:D,"CHECK")</f>
        <v>0</v>
      </c>
      <c r="E6" s="9" t="str">
        <f aca="false">IF(D6=0,"✓ alles klopt","⚠ "&amp;D6&amp;" afwijking(en) — zie tab")</f>
        <v>✓ alles klopt</v>
      </c>
    </row>
    <row r="7" customFormat="false" ht="15" hidden="false" customHeight="true" outlineLevel="0" collapsed="false">
      <c r="B7" s="6" t="s">
        <v>8</v>
      </c>
      <c r="C7" s="7" t="s">
        <v>9</v>
      </c>
      <c r="D7" s="8" t="n">
        <f aca="false">COUNTIF('Slide 09 - W&amp;V Alliander'!D:D,"CHECK")+COUNTIF('Slide 09 - W&amp;V Alliander'!G:G,"CHECK")</f>
        <v>0</v>
      </c>
      <c r="E7" s="9" t="str">
        <f aca="false">IF(D7=0,"✓ alles klopt","⚠ "&amp;D7&amp;" afwijking(en) — zie tab")</f>
        <v>✓ alles klopt</v>
      </c>
    </row>
    <row r="8" customFormat="false" ht="15" hidden="false" customHeight="true" outlineLevel="0" collapsed="false">
      <c r="B8" s="6" t="s">
        <v>10</v>
      </c>
      <c r="C8" s="7" t="s">
        <v>11</v>
      </c>
      <c r="D8" s="8" t="n">
        <f aca="false">COUNTIF('Slide 10 - Balans vb'!D:D,"CHECK")</f>
        <v>0</v>
      </c>
      <c r="E8" s="9" t="str">
        <f aca="false">IF(D8=0,"✓ alles klopt","⚠ "&amp;D8&amp;" afwijking(en) — zie tab")</f>
        <v>✓ alles klopt</v>
      </c>
    </row>
    <row r="9" customFormat="false" ht="15" hidden="false" customHeight="true" outlineLevel="0" collapsed="false">
      <c r="B9" s="6" t="s">
        <v>12</v>
      </c>
      <c r="C9" s="7" t="s">
        <v>13</v>
      </c>
      <c r="D9" s="8" t="n">
        <f aca="false">COUNTIF('Slide 11 - Balans Alliander'!D:D,"CHECK")+COUNTIF('Slide 11 - Balans Alliander'!G:G,"CHECK")</f>
        <v>0</v>
      </c>
      <c r="E9" s="9" t="str">
        <f aca="false">IF(D9=0,"✓ alles klopt","⚠ "&amp;D9&amp;" afwijking(en) — zie tab")</f>
        <v>✓ alles klopt</v>
      </c>
    </row>
    <row r="10" customFormat="false" ht="15" hidden="false" customHeight="true" outlineLevel="0" collapsed="false">
      <c r="B10" s="6" t="s">
        <v>14</v>
      </c>
      <c r="C10" s="7" t="s">
        <v>15</v>
      </c>
      <c r="D10" s="8" t="n">
        <f aca="false">COUNTIF('Slide 12 - Kasstroom vb'!D:D,"CHECK")</f>
        <v>0</v>
      </c>
      <c r="E10" s="9" t="str">
        <f aca="false">IF(D10=0,"✓ alles klopt","⚠ "&amp;D10&amp;" afwijking(en) — zie tab")</f>
        <v>✓ alles klopt</v>
      </c>
    </row>
    <row r="11" customFormat="false" ht="15" hidden="false" customHeight="true" outlineLevel="0" collapsed="false">
      <c r="B11" s="6" t="s">
        <v>16</v>
      </c>
      <c r="C11" s="7" t="s">
        <v>17</v>
      </c>
      <c r="D11" s="8" t="n">
        <f aca="false">COUNTIF('Slide 13 - Kasstr. Alliander'!D:D,"CHECK")+COUNTIF('Slide 13 - Kasstr. Alliander'!G:G,"CHECK")</f>
        <v>0</v>
      </c>
      <c r="E11" s="9" t="str">
        <f aca="false">IF(D11=0,"✓ alles klopt","⚠ "&amp;D11&amp;" afwijking(en) — zie tab")</f>
        <v>✓ alles klopt</v>
      </c>
    </row>
    <row r="12" customFormat="false" ht="15" hidden="false" customHeight="true" outlineLevel="0" collapsed="false">
      <c r="B12" s="6" t="s">
        <v>18</v>
      </c>
      <c r="C12" s="7" t="s">
        <v>19</v>
      </c>
      <c r="D12" s="8" t="n">
        <f aca="false">COUNTIF('Slide 14 - Kerngetallen vb'!D:D,"CHECK")</f>
        <v>0</v>
      </c>
      <c r="E12" s="9" t="str">
        <f aca="false">IF(D12=0,"✓ alles klopt","⚠ "&amp;D12&amp;" afwijking(en) — zie tab")</f>
        <v>✓ alles klopt</v>
      </c>
    </row>
    <row r="13" customFormat="false" ht="15" hidden="false" customHeight="true" outlineLevel="0" collapsed="false">
      <c r="B13" s="6" t="s">
        <v>20</v>
      </c>
      <c r="C13" s="7" t="s">
        <v>21</v>
      </c>
      <c r="D13" s="8" t="n">
        <f aca="false">COUNTIF('Slide 15 - Kerngetallen All'!D:D,"CHECK")</f>
        <v>0</v>
      </c>
      <c r="E13" s="9" t="str">
        <f aca="false">IF(D13=0,"✓ alles klopt","⚠ "&amp;D13&amp;" afwijking(en) — zie tab")</f>
        <v>✓ alles klopt</v>
      </c>
    </row>
    <row r="14" customFormat="false" ht="15" hidden="false" customHeight="true" outlineLevel="0" collapsed="false">
      <c r="B14" s="6" t="s">
        <v>22</v>
      </c>
      <c r="C14" s="7" t="s">
        <v>23</v>
      </c>
      <c r="D14" s="8" t="n">
        <f aca="false">COUNTIF('Slide 16 - AkzoNobel waarde'!D:D,"CHECK")</f>
        <v>0</v>
      </c>
      <c r="E14" s="9" t="str">
        <f aca="false">IF(D14=0,"✓ alles klopt","⚠ "&amp;D14&amp;" afwijking(en) — zie tab")</f>
        <v>✓ alles klopt</v>
      </c>
    </row>
    <row r="15" customFormat="false" ht="15" hidden="false" customHeight="true" outlineLevel="0" collapsed="false">
      <c r="B15" s="6" t="s">
        <v>24</v>
      </c>
      <c r="C15" s="7" t="s">
        <v>25</v>
      </c>
      <c r="D15" s="8" t="n">
        <f aca="false">COUNTIF('Slide 17 - Markt vs fund.'!D:D,"CHECK")</f>
        <v>0</v>
      </c>
      <c r="E15" s="9" t="str">
        <f aca="false">IF(D15=0,"✓ alles klopt","⚠ "&amp;D15&amp;" afwijking(en) — zie tab")</f>
        <v>✓ alles klopt</v>
      </c>
    </row>
    <row r="16" customFormat="false" ht="15" hidden="false" customHeight="true" outlineLevel="0" collapsed="false">
      <c r="B16" s="6" t="s">
        <v>26</v>
      </c>
      <c r="C16" s="7" t="s">
        <v>27</v>
      </c>
      <c r="D16" s="8" t="s">
        <v>28</v>
      </c>
      <c r="E16" s="10" t="s">
        <v>29</v>
      </c>
    </row>
    <row r="17" customFormat="false" ht="15" hidden="false" customHeight="true" outlineLevel="0" collapsed="false">
      <c r="B17" s="6" t="s">
        <v>30</v>
      </c>
      <c r="C17" s="7" t="s">
        <v>31</v>
      </c>
      <c r="D17" s="8" t="s">
        <v>28</v>
      </c>
      <c r="E17" s="10" t="s">
        <v>29</v>
      </c>
    </row>
    <row r="19" customFormat="false" ht="15" hidden="false" customHeight="true" outlineLevel="0" collapsed="false">
      <c r="C19" s="11" t="s">
        <v>32</v>
      </c>
      <c r="D19" s="12" t="n">
        <f aca="false">SUM(D6:D17)</f>
        <v>0</v>
      </c>
      <c r="E19" s="13" t="str">
        <f aca="false">IF(D19=0,"✓ presentatie volledig consistent","⚠ controleer gemarkeerde tabs")</f>
        <v>✓ presentatie volledig consistent</v>
      </c>
    </row>
  </sheetData>
  <mergeCells count="1"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true" outlineLevel="0" collapsed="false">
      <c r="A2" s="7" t="s">
        <v>38</v>
      </c>
      <c r="B2" s="14" t="n">
        <v>150</v>
      </c>
      <c r="E2" s="10"/>
    </row>
    <row r="3" customFormat="false" ht="15" hidden="false" customHeight="true" outlineLevel="0" collapsed="false">
      <c r="A3" s="7" t="s">
        <v>39</v>
      </c>
      <c r="B3" s="14" t="n">
        <v>-135</v>
      </c>
      <c r="E3" s="10"/>
    </row>
    <row r="4" customFormat="false" ht="15" hidden="false" customHeight="true" outlineLevel="0" collapsed="false">
      <c r="A4" s="15" t="s">
        <v>40</v>
      </c>
      <c r="B4" s="16" t="n">
        <v>15</v>
      </c>
      <c r="C4" s="16" t="n">
        <f aca="false">B2+B3</f>
        <v>15</v>
      </c>
      <c r="D4" s="8" t="str">
        <f aca="false">IF(ABS(B4-C4)&lt;=0.5,"OK","CHECK")</f>
        <v>OK</v>
      </c>
      <c r="E4" s="10" t="s">
        <v>41</v>
      </c>
    </row>
    <row r="5" customFormat="false" ht="15" hidden="false" customHeight="true" outlineLevel="0" collapsed="false">
      <c r="A5" s="7" t="s">
        <v>42</v>
      </c>
      <c r="B5" s="14" t="n">
        <v>-4</v>
      </c>
      <c r="E5" s="10"/>
    </row>
    <row r="6" customFormat="false" ht="15" hidden="false" customHeight="true" outlineLevel="0" collapsed="false">
      <c r="A6" s="15" t="s">
        <v>43</v>
      </c>
      <c r="B6" s="16" t="n">
        <v>11</v>
      </c>
      <c r="C6" s="16" t="n">
        <f aca="false">B4+B5</f>
        <v>11</v>
      </c>
      <c r="D6" s="8" t="str">
        <f aca="false">IF(ABS(B6-C6)&lt;=0.5,"OK","CHECK")</f>
        <v>OK</v>
      </c>
      <c r="E6" s="10" t="s">
        <v>44</v>
      </c>
    </row>
    <row r="7" customFormat="false" ht="15" hidden="false" customHeight="true" outlineLevel="0" collapsed="false">
      <c r="A7" s="7" t="s">
        <v>45</v>
      </c>
      <c r="B7" s="17" t="n">
        <v>-3.5</v>
      </c>
      <c r="E7" s="10"/>
    </row>
    <row r="8" customFormat="false" ht="15" hidden="false" customHeight="true" outlineLevel="0" collapsed="false">
      <c r="A8" s="15" t="s">
        <v>46</v>
      </c>
      <c r="B8" s="18" t="n">
        <v>7.5</v>
      </c>
      <c r="C8" s="18" t="n">
        <f aca="false">B6+B7</f>
        <v>7.5</v>
      </c>
      <c r="D8" s="8" t="str">
        <f aca="false">IF(ABS(B8-C8)&lt;=0.5,"OK","CHECK")</f>
        <v>OK</v>
      </c>
      <c r="E8" s="10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true" outlineLevel="0" collapsed="false">
      <c r="A2" s="19" t="s">
        <v>48</v>
      </c>
    </row>
    <row r="3" customFormat="false" ht="15" hidden="false" customHeight="true" outlineLevel="0" collapsed="false">
      <c r="A3" s="15" t="s">
        <v>49</v>
      </c>
      <c r="B3" s="16" t="n">
        <v>50</v>
      </c>
      <c r="C3" s="16" t="n">
        <f aca="false">B4+B5</f>
        <v>50</v>
      </c>
      <c r="D3" s="8" t="str">
        <f aca="false">IF(ABS(B3-C3)&lt;=0.5,"OK","CHECK")</f>
        <v>OK</v>
      </c>
      <c r="E3" s="10" t="s">
        <v>50</v>
      </c>
    </row>
    <row r="4" customFormat="false" ht="15" hidden="false" customHeight="true" outlineLevel="0" collapsed="false">
      <c r="A4" s="7" t="s">
        <v>51</v>
      </c>
      <c r="B4" s="14" t="n">
        <v>45</v>
      </c>
      <c r="E4" s="10"/>
    </row>
    <row r="5" customFormat="false" ht="15" hidden="false" customHeight="true" outlineLevel="0" collapsed="false">
      <c r="A5" s="7" t="s">
        <v>52</v>
      </c>
      <c r="B5" s="14" t="n">
        <v>5</v>
      </c>
      <c r="E5" s="10"/>
    </row>
    <row r="6" customFormat="false" ht="15" hidden="false" customHeight="true" outlineLevel="0" collapsed="false">
      <c r="A6" s="15" t="s">
        <v>53</v>
      </c>
      <c r="B6" s="16" t="n">
        <v>70</v>
      </c>
      <c r="C6" s="16" t="n">
        <f aca="false">B7+B8+B9</f>
        <v>70</v>
      </c>
      <c r="D6" s="8" t="str">
        <f aca="false">IF(ABS(B6-C6)&lt;=0.5,"OK","CHECK")</f>
        <v>OK</v>
      </c>
      <c r="E6" s="10" t="s">
        <v>54</v>
      </c>
    </row>
    <row r="7" customFormat="false" ht="15" hidden="false" customHeight="true" outlineLevel="0" collapsed="false">
      <c r="A7" s="7" t="s">
        <v>55</v>
      </c>
      <c r="B7" s="14" t="n">
        <v>30</v>
      </c>
      <c r="E7" s="10"/>
    </row>
    <row r="8" customFormat="false" ht="15" hidden="false" customHeight="true" outlineLevel="0" collapsed="false">
      <c r="A8" s="7" t="s">
        <v>56</v>
      </c>
      <c r="B8" s="14" t="n">
        <v>15</v>
      </c>
      <c r="E8" s="10"/>
    </row>
    <row r="9" customFormat="false" ht="15" hidden="false" customHeight="true" outlineLevel="0" collapsed="false">
      <c r="A9" s="7" t="s">
        <v>57</v>
      </c>
      <c r="B9" s="14" t="n">
        <v>25</v>
      </c>
      <c r="E9" s="10"/>
    </row>
    <row r="10" customFormat="false" ht="15" hidden="false" customHeight="true" outlineLevel="0" collapsed="false">
      <c r="A10" s="15" t="s">
        <v>58</v>
      </c>
      <c r="B10" s="16" t="n">
        <v>120</v>
      </c>
      <c r="C10" s="16" t="n">
        <f aca="false">B3+B6</f>
        <v>120</v>
      </c>
      <c r="D10" s="8" t="str">
        <f aca="false">IF(ABS(B10-C10)&lt;=0.5,"OK","CHECK")</f>
        <v>OK</v>
      </c>
      <c r="E10" s="10" t="s">
        <v>59</v>
      </c>
    </row>
    <row r="11" customFormat="false" ht="15" hidden="false" customHeight="true" outlineLevel="0" collapsed="false">
      <c r="A11" s="19" t="s">
        <v>60</v>
      </c>
    </row>
    <row r="12" customFormat="false" ht="15" hidden="false" customHeight="true" outlineLevel="0" collapsed="false">
      <c r="A12" s="7" t="s">
        <v>61</v>
      </c>
      <c r="B12" s="14" t="n">
        <v>55</v>
      </c>
      <c r="E12" s="10"/>
    </row>
    <row r="13" customFormat="false" ht="15" hidden="false" customHeight="true" outlineLevel="0" collapsed="false">
      <c r="A13" s="15" t="s">
        <v>62</v>
      </c>
      <c r="B13" s="16" t="n">
        <v>35</v>
      </c>
      <c r="C13" s="16" t="n">
        <f aca="false">B14</f>
        <v>35</v>
      </c>
      <c r="D13" s="8" t="str">
        <f aca="false">IF(ABS(B13-C13)&lt;=0.5,"OK","CHECK")</f>
        <v>OK</v>
      </c>
      <c r="E13" s="10" t="s">
        <v>63</v>
      </c>
    </row>
    <row r="14" customFormat="false" ht="15" hidden="false" customHeight="true" outlineLevel="0" collapsed="false">
      <c r="A14" s="7" t="s">
        <v>64</v>
      </c>
      <c r="B14" s="14" t="n">
        <v>35</v>
      </c>
      <c r="E14" s="10"/>
    </row>
    <row r="15" customFormat="false" ht="15" hidden="false" customHeight="true" outlineLevel="0" collapsed="false">
      <c r="A15" s="15" t="s">
        <v>65</v>
      </c>
      <c r="B15" s="16" t="n">
        <v>30</v>
      </c>
      <c r="C15" s="16" t="n">
        <f aca="false">B16+B17</f>
        <v>30</v>
      </c>
      <c r="D15" s="8" t="str">
        <f aca="false">IF(ABS(B15-C15)&lt;=0.5,"OK","CHECK")</f>
        <v>OK</v>
      </c>
      <c r="E15" s="10" t="s">
        <v>66</v>
      </c>
    </row>
    <row r="16" customFormat="false" ht="15" hidden="false" customHeight="true" outlineLevel="0" collapsed="false">
      <c r="A16" s="7" t="s">
        <v>67</v>
      </c>
      <c r="B16" s="14" t="n">
        <v>25</v>
      </c>
      <c r="E16" s="10"/>
    </row>
    <row r="17" customFormat="false" ht="15" hidden="false" customHeight="true" outlineLevel="0" collapsed="false">
      <c r="A17" s="7" t="s">
        <v>68</v>
      </c>
      <c r="B17" s="14" t="n">
        <v>5</v>
      </c>
      <c r="E17" s="10"/>
    </row>
    <row r="18" customFormat="false" ht="15" hidden="false" customHeight="true" outlineLevel="0" collapsed="false">
      <c r="A18" s="15" t="s">
        <v>69</v>
      </c>
      <c r="B18" s="16" t="n">
        <v>120</v>
      </c>
      <c r="C18" s="16" t="n">
        <f aca="false">B12+B13+B15</f>
        <v>120</v>
      </c>
      <c r="D18" s="8" t="str">
        <f aca="false">IF(ABS(B18-C18)&lt;=0.5,"OK","CHECK")</f>
        <v>OK</v>
      </c>
      <c r="E18" s="10" t="s">
        <v>70</v>
      </c>
    </row>
    <row r="19" customFormat="false" ht="15" hidden="false" customHeight="true" outlineLevel="0" collapsed="false">
      <c r="A19" s="15" t="s">
        <v>71</v>
      </c>
      <c r="B19" s="16" t="n">
        <v>0</v>
      </c>
      <c r="C19" s="16" t="n">
        <f aca="false">B10-B18</f>
        <v>0</v>
      </c>
      <c r="D19" s="8" t="str">
        <f aca="false">IF(ABS(B19-C19)&lt;=0.5,"OK","CHECK")</f>
        <v>OK</v>
      </c>
      <c r="E19" s="10" t="s">
        <v>72</v>
      </c>
    </row>
    <row r="20" customFormat="false" ht="15" hidden="false" customHeight="true" outlineLevel="0" collapsed="false">
      <c r="A20" s="15" t="s">
        <v>73</v>
      </c>
      <c r="B20" s="20" t="n">
        <v>0.46</v>
      </c>
      <c r="C20" s="20" t="n">
        <f aca="false">B12/B10</f>
        <v>0.458333333333333</v>
      </c>
      <c r="D20" s="8" t="str">
        <f aca="false">IF(ABS(B20-C20)&lt;=0.005,"OK","CHECK")</f>
        <v>OK</v>
      </c>
      <c r="E20" s="10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true" outlineLevel="0" collapsed="false">
      <c r="A2" s="7" t="s">
        <v>46</v>
      </c>
      <c r="B2" s="17" t="n">
        <v>7.5</v>
      </c>
      <c r="E2" s="10"/>
    </row>
    <row r="3" customFormat="false" ht="15" hidden="false" customHeight="true" outlineLevel="0" collapsed="false">
      <c r="A3" s="7" t="s">
        <v>75</v>
      </c>
      <c r="B3" s="14" t="n">
        <v>4</v>
      </c>
      <c r="E3" s="10"/>
    </row>
    <row r="4" customFormat="false" ht="15" hidden="false" customHeight="true" outlineLevel="0" collapsed="false">
      <c r="A4" s="7" t="s">
        <v>76</v>
      </c>
      <c r="B4" s="17" t="n">
        <v>-5.5</v>
      </c>
      <c r="E4" s="10"/>
    </row>
    <row r="5" customFormat="false" ht="15" hidden="false" customHeight="true" outlineLevel="0" collapsed="false">
      <c r="A5" s="15" t="s">
        <v>77</v>
      </c>
      <c r="B5" s="16" t="n">
        <v>6</v>
      </c>
      <c r="C5" s="16" t="n">
        <f aca="false">B2+B3+B4</f>
        <v>6</v>
      </c>
      <c r="D5" s="8" t="str">
        <f aca="false">IF(ABS(B5-C5)&lt;=0.5,"OK","CHECK")</f>
        <v>OK</v>
      </c>
      <c r="E5" s="10" t="s">
        <v>78</v>
      </c>
    </row>
    <row r="6" customFormat="false" ht="15" hidden="false" customHeight="true" outlineLevel="0" collapsed="false">
      <c r="A6" s="7" t="s">
        <v>79</v>
      </c>
      <c r="B6" s="14" t="n">
        <v>-7</v>
      </c>
      <c r="E6" s="10"/>
    </row>
    <row r="7" customFormat="false" ht="15" hidden="false" customHeight="true" outlineLevel="0" collapsed="false">
      <c r="A7" s="15" t="s">
        <v>80</v>
      </c>
      <c r="B7" s="16" t="n">
        <v>-7</v>
      </c>
      <c r="C7" s="16" t="n">
        <f aca="false">B6</f>
        <v>-7</v>
      </c>
      <c r="D7" s="8" t="str">
        <f aca="false">IF(ABS(B7-C7)&lt;=0.5,"OK","CHECK")</f>
        <v>OK</v>
      </c>
      <c r="E7" s="10" t="s">
        <v>81</v>
      </c>
    </row>
    <row r="8" customFormat="false" ht="15" hidden="false" customHeight="true" outlineLevel="0" collapsed="false">
      <c r="A8" s="7" t="s">
        <v>82</v>
      </c>
      <c r="B8" s="14" t="n">
        <v>3</v>
      </c>
      <c r="E8" s="10"/>
    </row>
    <row r="9" customFormat="false" ht="15" hidden="false" customHeight="true" outlineLevel="0" collapsed="false">
      <c r="A9" s="7" t="s">
        <v>83</v>
      </c>
      <c r="B9" s="14" t="n">
        <v>-1</v>
      </c>
      <c r="E9" s="10"/>
    </row>
    <row r="10" customFormat="false" ht="15" hidden="false" customHeight="true" outlineLevel="0" collapsed="false">
      <c r="A10" s="15" t="s">
        <v>84</v>
      </c>
      <c r="B10" s="16" t="n">
        <v>2</v>
      </c>
      <c r="C10" s="16" t="n">
        <f aca="false">B8+B9</f>
        <v>2</v>
      </c>
      <c r="D10" s="8" t="str">
        <f aca="false">IF(ABS(B10-C10)&lt;=0.5,"OK","CHECK")</f>
        <v>OK</v>
      </c>
      <c r="E10" s="10" t="s">
        <v>85</v>
      </c>
    </row>
    <row r="11" customFormat="false" ht="15" hidden="false" customHeight="true" outlineLevel="0" collapsed="false">
      <c r="A11" s="15" t="s">
        <v>86</v>
      </c>
      <c r="B11" s="16" t="n">
        <v>1</v>
      </c>
      <c r="C11" s="16" t="n">
        <f aca="false">B5+B7+B10</f>
        <v>1</v>
      </c>
      <c r="D11" s="8" t="str">
        <f aca="false">IF(ABS(B11-C11)&lt;=0.5,"OK","CHECK")</f>
        <v>OK</v>
      </c>
      <c r="E11" s="10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6"/>
    <col collapsed="false" customWidth="true" hidden="false" outlineLevel="0" max="6" min="5" style="1" width="12"/>
    <col collapsed="false" customWidth="true" hidden="false" outlineLevel="0" max="7" min="7" style="1" width="6"/>
    <col collapsed="false" customWidth="true" hidden="false" outlineLevel="0" max="8" min="8" style="1" width="40"/>
  </cols>
  <sheetData>
    <row r="1" customFormat="false" ht="15" hidden="false" customHeight="true" outlineLevel="0" collapsed="false">
      <c r="A1" s="5" t="s">
        <v>33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37</v>
      </c>
    </row>
    <row r="2" customFormat="false" ht="15" hidden="false" customHeight="true" outlineLevel="0" collapsed="false">
      <c r="A2" s="7" t="s">
        <v>94</v>
      </c>
      <c r="B2" s="14" t="n">
        <v>3273</v>
      </c>
      <c r="E2" s="14" t="n">
        <v>3043</v>
      </c>
      <c r="H2" s="10"/>
    </row>
    <row r="3" customFormat="false" ht="15" hidden="false" customHeight="true" outlineLevel="0" collapsed="false">
      <c r="A3" s="7" t="s">
        <v>95</v>
      </c>
      <c r="B3" s="14" t="n">
        <v>124</v>
      </c>
      <c r="E3" s="14" t="n">
        <v>838</v>
      </c>
      <c r="H3" s="10" t="s">
        <v>96</v>
      </c>
    </row>
    <row r="4" customFormat="false" ht="15" hidden="false" customHeight="true" outlineLevel="0" collapsed="false">
      <c r="A4" s="15" t="s">
        <v>97</v>
      </c>
      <c r="B4" s="16" t="n">
        <v>3397</v>
      </c>
      <c r="C4" s="16" t="n">
        <f aca="false">B2+B3</f>
        <v>3397</v>
      </c>
      <c r="D4" s="8" t="str">
        <f aca="false">IF(ABS(B4-C4)&lt;=0.5,"OK","CHECK")</f>
        <v>OK</v>
      </c>
      <c r="E4" s="16" t="n">
        <v>3881</v>
      </c>
      <c r="F4" s="16" t="n">
        <f aca="false">E2+E3</f>
        <v>3881</v>
      </c>
      <c r="G4" s="8" t="str">
        <f aca="false">IF(ABS(E4-F4)&lt;=0.5,"OK","CHECK")</f>
        <v>OK</v>
      </c>
      <c r="H4" s="10" t="s">
        <v>98</v>
      </c>
    </row>
    <row r="5" customFormat="false" ht="15" hidden="false" customHeight="true" outlineLevel="0" collapsed="false">
      <c r="A5" s="7" t="s">
        <v>99</v>
      </c>
      <c r="B5" s="14" t="n">
        <v>-2328</v>
      </c>
      <c r="E5" s="14" t="n">
        <v>-2207</v>
      </c>
      <c r="H5" s="10"/>
    </row>
    <row r="6" customFormat="false" ht="15" hidden="false" customHeight="true" outlineLevel="0" collapsed="false">
      <c r="A6" s="7" t="s">
        <v>42</v>
      </c>
      <c r="B6" s="14" t="n">
        <v>-596</v>
      </c>
      <c r="E6" s="14" t="n">
        <v>-565</v>
      </c>
      <c r="H6" s="10"/>
    </row>
    <row r="7" customFormat="false" ht="15" hidden="false" customHeight="true" outlineLevel="0" collapsed="false">
      <c r="A7" s="15" t="s">
        <v>40</v>
      </c>
      <c r="B7" s="16" t="n">
        <v>1069</v>
      </c>
      <c r="C7" s="16" t="n">
        <f aca="false">B4+B5</f>
        <v>1069</v>
      </c>
      <c r="D7" s="8" t="str">
        <f aca="false">IF(ABS(B7-C7)&lt;=0.5,"OK","CHECK")</f>
        <v>OK</v>
      </c>
      <c r="E7" s="16" t="n">
        <v>1674</v>
      </c>
      <c r="F7" s="16" t="n">
        <f aca="false">E4+E5</f>
        <v>1674</v>
      </c>
      <c r="G7" s="8" t="str">
        <f aca="false">IF(ABS(E7-F7)&lt;=0.5,"OK","CHECK")</f>
        <v>OK</v>
      </c>
      <c r="H7" s="10" t="s">
        <v>100</v>
      </c>
    </row>
    <row r="8" customFormat="false" ht="15" hidden="false" customHeight="true" outlineLevel="0" collapsed="false">
      <c r="A8" s="15" t="s">
        <v>101</v>
      </c>
      <c r="B8" s="16" t="n">
        <v>473</v>
      </c>
      <c r="C8" s="16" t="n">
        <f aca="false">B7+B6</f>
        <v>473</v>
      </c>
      <c r="D8" s="8" t="str">
        <f aca="false">IF(ABS(B8-C8)&lt;=0.5,"OK","CHECK")</f>
        <v>OK</v>
      </c>
      <c r="E8" s="16" t="n">
        <v>1109</v>
      </c>
      <c r="F8" s="16" t="n">
        <f aca="false">E7+E6</f>
        <v>1109</v>
      </c>
      <c r="G8" s="8" t="str">
        <f aca="false">IF(ABS(E8-F8)&lt;=0.5,"OK","CHECK")</f>
        <v>OK</v>
      </c>
      <c r="H8" s="10" t="s">
        <v>44</v>
      </c>
    </row>
    <row r="9" customFormat="false" ht="15" hidden="false" customHeight="true" outlineLevel="0" collapsed="false">
      <c r="A9" s="7" t="s">
        <v>102</v>
      </c>
      <c r="B9" s="14" t="n">
        <v>-184</v>
      </c>
      <c r="E9" s="14" t="n">
        <v>-133</v>
      </c>
      <c r="H9" s="10"/>
    </row>
    <row r="10" customFormat="false" ht="15" hidden="false" customHeight="true" outlineLevel="0" collapsed="false">
      <c r="A10" s="15" t="s">
        <v>103</v>
      </c>
      <c r="B10" s="16" t="n">
        <v>289</v>
      </c>
      <c r="C10" s="16" t="n">
        <f aca="false">B8+B9</f>
        <v>289</v>
      </c>
      <c r="D10" s="8" t="str">
        <f aca="false">IF(ABS(B10-C10)&lt;=0.5,"OK","CHECK")</f>
        <v>OK</v>
      </c>
      <c r="E10" s="16" t="n">
        <v>976</v>
      </c>
      <c r="F10" s="16" t="n">
        <f aca="false">E8+E9</f>
        <v>976</v>
      </c>
      <c r="G10" s="8" t="str">
        <f aca="false">IF(ABS(E10-F10)&lt;=0.5,"OK","CHECK")</f>
        <v>OK</v>
      </c>
      <c r="H10" s="1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6"/>
    <col collapsed="false" customWidth="true" hidden="false" outlineLevel="0" max="6" min="5" style="1" width="12"/>
    <col collapsed="false" customWidth="true" hidden="false" outlineLevel="0" max="7" min="7" style="1" width="6"/>
    <col collapsed="false" customWidth="true" hidden="false" outlineLevel="0" max="8" min="8" style="1" width="40"/>
  </cols>
  <sheetData>
    <row r="1" customFormat="false" ht="15" hidden="false" customHeight="true" outlineLevel="0" collapsed="false">
      <c r="A1" s="5" t="s">
        <v>33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37</v>
      </c>
    </row>
    <row r="2" customFormat="false" ht="15" hidden="false" customHeight="true" outlineLevel="0" collapsed="false">
      <c r="A2" s="7" t="s">
        <v>105</v>
      </c>
      <c r="B2" s="14" t="n">
        <v>12547</v>
      </c>
      <c r="E2" s="14" t="n">
        <v>11195</v>
      </c>
      <c r="H2" s="10"/>
    </row>
    <row r="3" customFormat="false" ht="15" hidden="false" customHeight="true" outlineLevel="0" collapsed="false">
      <c r="A3" s="7" t="s">
        <v>106</v>
      </c>
      <c r="B3" s="14" t="n">
        <v>587</v>
      </c>
      <c r="E3" s="14" t="n">
        <v>524</v>
      </c>
      <c r="H3" s="10"/>
    </row>
    <row r="4" customFormat="false" ht="15" hidden="false" customHeight="true" outlineLevel="0" collapsed="false">
      <c r="A4" s="15" t="s">
        <v>107</v>
      </c>
      <c r="B4" s="16" t="n">
        <v>13134</v>
      </c>
      <c r="C4" s="16" t="n">
        <f aca="false">B2+B3</f>
        <v>13134</v>
      </c>
      <c r="D4" s="8" t="str">
        <f aca="false">IF(ABS(B4-C4)&lt;=0.5,"OK","CHECK")</f>
        <v>OK</v>
      </c>
      <c r="E4" s="16" t="n">
        <v>11719</v>
      </c>
      <c r="F4" s="16" t="n">
        <f aca="false">E2+E3</f>
        <v>11719</v>
      </c>
      <c r="G4" s="8" t="str">
        <f aca="false">IF(ABS(E4-F4)&lt;=0.5,"OK","CHECK")</f>
        <v>OK</v>
      </c>
      <c r="H4" s="10" t="s">
        <v>108</v>
      </c>
    </row>
    <row r="5" customFormat="false" ht="15" hidden="false" customHeight="true" outlineLevel="0" collapsed="false">
      <c r="A5" s="7" t="s">
        <v>53</v>
      </c>
      <c r="B5" s="14" t="n">
        <v>1029</v>
      </c>
      <c r="E5" s="14" t="n">
        <v>1237</v>
      </c>
      <c r="H5" s="10" t="s">
        <v>109</v>
      </c>
    </row>
    <row r="6" customFormat="false" ht="15" hidden="false" customHeight="true" outlineLevel="0" collapsed="false">
      <c r="A6" s="15" t="s">
        <v>58</v>
      </c>
      <c r="B6" s="16" t="n">
        <v>14163</v>
      </c>
      <c r="C6" s="16" t="n">
        <f aca="false">B4+B5</f>
        <v>14163</v>
      </c>
      <c r="D6" s="8" t="str">
        <f aca="false">IF(ABS(B6-C6)&lt;=0.5,"OK","CHECK")</f>
        <v>OK</v>
      </c>
      <c r="E6" s="16" t="n">
        <v>12956</v>
      </c>
      <c r="F6" s="16" t="n">
        <f aca="false">E4+E5</f>
        <v>12956</v>
      </c>
      <c r="G6" s="8" t="str">
        <f aca="false">IF(ABS(E6-F6)&lt;=0.5,"OK","CHECK")</f>
        <v>OK</v>
      </c>
      <c r="H6" s="10" t="s">
        <v>59</v>
      </c>
    </row>
    <row r="7" customFormat="false" ht="15" hidden="false" customHeight="true" outlineLevel="0" collapsed="false">
      <c r="A7" s="7" t="s">
        <v>110</v>
      </c>
      <c r="B7" s="14" t="n">
        <v>6203</v>
      </c>
      <c r="E7" s="14" t="n">
        <v>6038</v>
      </c>
      <c r="H7" s="10" t="s">
        <v>111</v>
      </c>
    </row>
    <row r="8" customFormat="false" ht="15" hidden="false" customHeight="true" outlineLevel="0" collapsed="false">
      <c r="A8" s="7" t="s">
        <v>112</v>
      </c>
      <c r="B8" s="14" t="n">
        <v>4568</v>
      </c>
      <c r="E8" s="14" t="n">
        <v>3872</v>
      </c>
      <c r="H8" s="10"/>
    </row>
    <row r="9" customFormat="false" ht="15" hidden="false" customHeight="true" outlineLevel="0" collapsed="false">
      <c r="A9" s="7" t="s">
        <v>113</v>
      </c>
      <c r="B9" s="14" t="n">
        <v>2092</v>
      </c>
      <c r="E9" s="14" t="n">
        <v>2050</v>
      </c>
      <c r="H9" s="10"/>
    </row>
    <row r="10" customFormat="false" ht="15" hidden="false" customHeight="true" outlineLevel="0" collapsed="false">
      <c r="A10" s="7" t="s">
        <v>114</v>
      </c>
      <c r="B10" s="14" t="n">
        <v>1300</v>
      </c>
      <c r="E10" s="14" t="n">
        <v>996</v>
      </c>
      <c r="H10" s="10"/>
    </row>
    <row r="11" customFormat="false" ht="15" hidden="false" customHeight="true" outlineLevel="0" collapsed="false">
      <c r="A11" s="15" t="s">
        <v>69</v>
      </c>
      <c r="B11" s="16" t="n">
        <v>14163</v>
      </c>
      <c r="C11" s="16" t="n">
        <f aca="false">B7+B8+B9+B10</f>
        <v>14163</v>
      </c>
      <c r="D11" s="8" t="str">
        <f aca="false">IF(ABS(B11-C11)&lt;=0.5,"OK","CHECK")</f>
        <v>OK</v>
      </c>
      <c r="E11" s="16" t="n">
        <v>12956</v>
      </c>
      <c r="F11" s="16" t="n">
        <f aca="false">E7+E8+E9+E10</f>
        <v>12956</v>
      </c>
      <c r="G11" s="8" t="str">
        <f aca="false">IF(ABS(E11-F11)&lt;=0.5,"OK","CHECK")</f>
        <v>OK</v>
      </c>
      <c r="H11" s="10" t="s">
        <v>115</v>
      </c>
    </row>
    <row r="12" customFormat="false" ht="15" hidden="false" customHeight="true" outlineLevel="0" collapsed="false">
      <c r="A12" s="15" t="s">
        <v>71</v>
      </c>
      <c r="B12" s="16" t="n">
        <v>0</v>
      </c>
      <c r="C12" s="16" t="n">
        <f aca="false">B6-B11</f>
        <v>0</v>
      </c>
      <c r="D12" s="8" t="str">
        <f aca="false">IF(ABS(B12-C12)&lt;=0.5,"OK","CHECK")</f>
        <v>OK</v>
      </c>
      <c r="E12" s="16" t="n">
        <v>0</v>
      </c>
      <c r="F12" s="16" t="n">
        <f aca="false">E6-E11</f>
        <v>0</v>
      </c>
      <c r="G12" s="8" t="str">
        <f aca="false">IF(ABS(E12-F12)&lt;=0.5,"OK","CHECK")</f>
        <v>OK</v>
      </c>
      <c r="H12" s="10" t="s">
        <v>72</v>
      </c>
    </row>
    <row r="13" customFormat="false" ht="15" hidden="false" customHeight="true" outlineLevel="0" collapsed="false">
      <c r="A13" s="15" t="s">
        <v>116</v>
      </c>
      <c r="B13" s="20" t="n">
        <v>0.438</v>
      </c>
      <c r="C13" s="20" t="n">
        <f aca="false">B7/B6</f>
        <v>0.437972181035091</v>
      </c>
      <c r="D13" s="8" t="str">
        <f aca="false">IF(ABS(B13-C13)&lt;=0.001,"OK","CHECK")</f>
        <v>OK</v>
      </c>
      <c r="E13" s="20" t="n">
        <v>0.466</v>
      </c>
      <c r="F13" s="20" t="n">
        <f aca="false">E7/E6</f>
        <v>0.466038900895338</v>
      </c>
      <c r="G13" s="8" t="str">
        <f aca="false">IF(ABS(E13-F13)&lt;=0.001,"OK","CHECK")</f>
        <v>OK</v>
      </c>
      <c r="H13" s="10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2"/>
    <col collapsed="false" customWidth="true" hidden="false" outlineLevel="0" max="4" min="4" style="1" width="6"/>
    <col collapsed="false" customWidth="true" hidden="false" outlineLevel="0" max="6" min="5" style="1" width="12"/>
    <col collapsed="false" customWidth="true" hidden="false" outlineLevel="0" max="7" min="7" style="1" width="6"/>
    <col collapsed="false" customWidth="true" hidden="false" outlineLevel="0" max="8" min="8" style="1" width="40"/>
  </cols>
  <sheetData>
    <row r="1" customFormat="false" ht="15" hidden="false" customHeight="true" outlineLevel="0" collapsed="false">
      <c r="A1" s="5" t="s">
        <v>33</v>
      </c>
      <c r="B1" s="4" t="s">
        <v>88</v>
      </c>
      <c r="C1" s="4" t="s">
        <v>89</v>
      </c>
      <c r="D1" s="4" t="s">
        <v>90</v>
      </c>
      <c r="E1" s="4" t="s">
        <v>91</v>
      </c>
      <c r="F1" s="4" t="s">
        <v>92</v>
      </c>
      <c r="G1" s="4" t="s">
        <v>93</v>
      </c>
      <c r="H1" s="4" t="s">
        <v>37</v>
      </c>
    </row>
    <row r="2" customFormat="false" ht="15" hidden="false" customHeight="true" outlineLevel="0" collapsed="false">
      <c r="A2" s="7" t="s">
        <v>118</v>
      </c>
      <c r="B2" s="14" t="n">
        <v>832</v>
      </c>
      <c r="E2" s="14" t="n">
        <v>829</v>
      </c>
      <c r="H2" s="10"/>
    </row>
    <row r="3" customFormat="false" ht="15" hidden="false" customHeight="true" outlineLevel="0" collapsed="false">
      <c r="A3" s="7" t="s">
        <v>119</v>
      </c>
      <c r="B3" s="14" t="n">
        <v>-2071</v>
      </c>
      <c r="E3" s="14" t="n">
        <v>-1772</v>
      </c>
      <c r="H3" s="10"/>
    </row>
    <row r="4" customFormat="false" ht="15" hidden="false" customHeight="true" outlineLevel="0" collapsed="false">
      <c r="A4" s="7" t="s">
        <v>120</v>
      </c>
      <c r="B4" s="14" t="n">
        <v>221</v>
      </c>
      <c r="E4" s="14" t="n">
        <v>1093</v>
      </c>
      <c r="H4" s="10" t="s">
        <v>121</v>
      </c>
    </row>
    <row r="5" customFormat="false" ht="15" hidden="false" customHeight="true" outlineLevel="0" collapsed="false">
      <c r="A5" s="15" t="s">
        <v>122</v>
      </c>
      <c r="B5" s="16" t="n">
        <v>-1850</v>
      </c>
      <c r="C5" s="16" t="n">
        <f aca="false">B3+B4</f>
        <v>-1850</v>
      </c>
      <c r="D5" s="8" t="str">
        <f aca="false">IF(ABS(B5-C5)&lt;=0.5,"OK","CHECK")</f>
        <v>OK</v>
      </c>
      <c r="E5" s="16" t="n">
        <v>-679</v>
      </c>
      <c r="F5" s="16" t="n">
        <f aca="false">E3+E4</f>
        <v>-679</v>
      </c>
      <c r="G5" s="8" t="str">
        <f aca="false">IF(ABS(E5-F5)&lt;=0.5,"OK","CHECK")</f>
        <v>OK</v>
      </c>
      <c r="H5" s="10" t="s">
        <v>123</v>
      </c>
    </row>
    <row r="6" customFormat="false" ht="15" hidden="false" customHeight="true" outlineLevel="0" collapsed="false">
      <c r="A6" s="7" t="s">
        <v>124</v>
      </c>
      <c r="B6" s="14" t="n">
        <v>829</v>
      </c>
      <c r="E6" s="14" t="n">
        <v>102</v>
      </c>
      <c r="H6" s="10" t="s">
        <v>125</v>
      </c>
    </row>
    <row r="7" customFormat="false" ht="15" hidden="false" customHeight="true" outlineLevel="0" collapsed="false">
      <c r="A7" s="15" t="s">
        <v>126</v>
      </c>
      <c r="B7" s="16" t="n">
        <v>-189</v>
      </c>
      <c r="C7" s="16" t="n">
        <f aca="false">B2+B5+B6</f>
        <v>-189</v>
      </c>
      <c r="D7" s="8" t="str">
        <f aca="false">IF(ABS(B7-C7)&lt;=0.5,"OK","CHECK")</f>
        <v>OK</v>
      </c>
      <c r="E7" s="16" t="n">
        <v>252</v>
      </c>
      <c r="F7" s="16" t="n">
        <f aca="false">E2+E5+E6</f>
        <v>252</v>
      </c>
      <c r="G7" s="8" t="str">
        <f aca="false">IF(ABS(E7-F7)&lt;=0.5,"OK","CHECK")</f>
        <v>OK</v>
      </c>
      <c r="H7" s="10" t="s">
        <v>87</v>
      </c>
    </row>
    <row r="8" customFormat="false" ht="15" hidden="false" customHeight="true" outlineLevel="0" collapsed="false">
      <c r="A8" s="7" t="s">
        <v>127</v>
      </c>
      <c r="B8" s="14" t="n">
        <v>307</v>
      </c>
      <c r="E8" s="14" t="n">
        <v>496</v>
      </c>
      <c r="H8" s="1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true" outlineLevel="0" collapsed="false">
      <c r="A2" s="19" t="s">
        <v>129</v>
      </c>
    </row>
    <row r="3" customFormat="false" ht="15" hidden="false" customHeight="true" outlineLevel="0" collapsed="false">
      <c r="A3" s="15" t="s">
        <v>38</v>
      </c>
      <c r="B3" s="16" t="n">
        <v>150</v>
      </c>
      <c r="C3" s="16" t="n">
        <f aca="false">'Slide 08 - W&amp;V vb'!B2</f>
        <v>150</v>
      </c>
      <c r="D3" s="8" t="str">
        <f aca="false">IF(ABS(B3-C3)&lt;=0.5,"OK","CHECK")</f>
        <v>OK</v>
      </c>
      <c r="E3" s="10" t="s">
        <v>130</v>
      </c>
    </row>
    <row r="4" customFormat="false" ht="15" hidden="false" customHeight="true" outlineLevel="0" collapsed="false">
      <c r="A4" s="15" t="s">
        <v>40</v>
      </c>
      <c r="B4" s="16" t="n">
        <v>15</v>
      </c>
      <c r="C4" s="16" t="n">
        <f aca="false">'Slide 08 - W&amp;V vb'!B4</f>
        <v>15</v>
      </c>
      <c r="D4" s="8" t="str">
        <f aca="false">IF(ABS(B4-C4)&lt;=0.5,"OK","CHECK")</f>
        <v>OK</v>
      </c>
      <c r="E4" s="10" t="s">
        <v>130</v>
      </c>
    </row>
    <row r="5" customFormat="false" ht="15" hidden="false" customHeight="true" outlineLevel="0" collapsed="false">
      <c r="A5" s="15" t="s">
        <v>131</v>
      </c>
      <c r="B5" s="16" t="n">
        <v>135</v>
      </c>
      <c r="C5" s="16" t="n">
        <f aca="false">-'Slide 08 - W&amp;V vb'!B3</f>
        <v>135</v>
      </c>
      <c r="D5" s="8" t="str">
        <f aca="false">IF(ABS(B5-C5)&lt;=0.5,"OK","CHECK")</f>
        <v>OK</v>
      </c>
      <c r="E5" s="10" t="s">
        <v>132</v>
      </c>
    </row>
    <row r="6" customFormat="false" ht="15" hidden="false" customHeight="true" outlineLevel="0" collapsed="false">
      <c r="A6" s="15" t="s">
        <v>133</v>
      </c>
      <c r="B6" s="16" t="n">
        <v>7</v>
      </c>
      <c r="C6" s="16" t="n">
        <f aca="false">-'Slide 12 - Kasstroom vb'!B6</f>
        <v>7</v>
      </c>
      <c r="D6" s="8" t="str">
        <f aca="false">IF(ABS(B6-C6)&lt;=0.5,"OK","CHECK")</f>
        <v>OK</v>
      </c>
      <c r="E6" s="10" t="s">
        <v>134</v>
      </c>
    </row>
    <row r="7" customFormat="false" ht="15" hidden="false" customHeight="true" outlineLevel="0" collapsed="false">
      <c r="A7" s="15" t="s">
        <v>103</v>
      </c>
      <c r="B7" s="18" t="n">
        <v>7.5</v>
      </c>
      <c r="C7" s="18" t="n">
        <f aca="false">'Slide 08 - W&amp;V vb'!B8</f>
        <v>7.5</v>
      </c>
      <c r="D7" s="8" t="str">
        <f aca="false">IF(ABS(B7-C7)&lt;=0.5,"OK","CHECK")</f>
        <v>OK</v>
      </c>
      <c r="E7" s="10" t="s">
        <v>130</v>
      </c>
    </row>
    <row r="8" customFormat="false" ht="15" hidden="false" customHeight="true" outlineLevel="0" collapsed="false">
      <c r="A8" s="15" t="s">
        <v>135</v>
      </c>
      <c r="B8" s="16" t="n">
        <v>25</v>
      </c>
      <c r="C8" s="16" t="n">
        <f aca="false">'Slide 10 - Balans vb'!B9</f>
        <v>25</v>
      </c>
      <c r="D8" s="8" t="str">
        <f aca="false">IF(ABS(B8-C8)&lt;=0.5,"OK","CHECK")</f>
        <v>OK</v>
      </c>
      <c r="E8" s="10" t="s">
        <v>136</v>
      </c>
    </row>
    <row r="9" customFormat="false" ht="15" hidden="false" customHeight="true" outlineLevel="0" collapsed="false">
      <c r="A9" s="15" t="s">
        <v>61</v>
      </c>
      <c r="B9" s="16" t="n">
        <v>55</v>
      </c>
      <c r="C9" s="16" t="n">
        <f aca="false">'Slide 10 - Balans vb'!B12</f>
        <v>55</v>
      </c>
      <c r="D9" s="8" t="str">
        <f aca="false">IF(ABS(B9-C9)&lt;=0.5,"OK","CHECK")</f>
        <v>OK</v>
      </c>
      <c r="E9" s="10" t="s">
        <v>136</v>
      </c>
    </row>
    <row r="10" customFormat="false" ht="15" hidden="false" customHeight="true" outlineLevel="0" collapsed="false">
      <c r="A10" s="15" t="s">
        <v>137</v>
      </c>
      <c r="B10" s="16" t="n">
        <v>65</v>
      </c>
      <c r="C10" s="16" t="n">
        <f aca="false">'Slide 10 - Balans vb'!B10-'Slide 10 - Balans vb'!B12</f>
        <v>65</v>
      </c>
      <c r="D10" s="8" t="str">
        <f aca="false">IF(ABS(B10-C10)&lt;=0.5,"OK","CHECK")</f>
        <v>OK</v>
      </c>
      <c r="E10" s="10" t="s">
        <v>138</v>
      </c>
    </row>
    <row r="11" customFormat="false" ht="15" hidden="false" customHeight="true" outlineLevel="0" collapsed="false">
      <c r="A11" s="15" t="s">
        <v>139</v>
      </c>
      <c r="B11" s="16" t="n">
        <v>120</v>
      </c>
      <c r="C11" s="16" t="n">
        <f aca="false">'Slide 10 - Balans vb'!B10</f>
        <v>120</v>
      </c>
      <c r="D11" s="8" t="str">
        <f aca="false">IF(ABS(B11-C11)&lt;=0.5,"OK","CHECK")</f>
        <v>OK</v>
      </c>
      <c r="E11" s="10" t="s">
        <v>136</v>
      </c>
    </row>
    <row r="12" customFormat="false" ht="15" hidden="false" customHeight="true" outlineLevel="0" collapsed="false">
      <c r="A12" s="19" t="s">
        <v>140</v>
      </c>
    </row>
    <row r="13" customFormat="false" ht="15" hidden="false" customHeight="true" outlineLevel="0" collapsed="false">
      <c r="A13" s="15" t="s">
        <v>141</v>
      </c>
      <c r="B13" s="20" t="n">
        <v>0.1</v>
      </c>
      <c r="C13" s="20" t="n">
        <f aca="false">B4/B3</f>
        <v>0.1</v>
      </c>
      <c r="D13" s="8" t="str">
        <f aca="false">IF(ABS(B13-C13)&lt;=0.005,"OK","CHECK")</f>
        <v>OK</v>
      </c>
      <c r="E13" s="10" t="s">
        <v>142</v>
      </c>
    </row>
    <row r="14" customFormat="false" ht="15" hidden="false" customHeight="true" outlineLevel="0" collapsed="false">
      <c r="A14" s="15" t="s">
        <v>143</v>
      </c>
      <c r="B14" s="20" t="n">
        <v>0.05</v>
      </c>
      <c r="C14" s="20" t="n">
        <f aca="false">B7/B3</f>
        <v>0.05</v>
      </c>
      <c r="D14" s="8" t="str">
        <f aca="false">IF(ABS(B14-C14)&lt;=0.005,"OK","CHECK")</f>
        <v>OK</v>
      </c>
      <c r="E14" s="10" t="s">
        <v>144</v>
      </c>
    </row>
    <row r="15" customFormat="false" ht="15" hidden="false" customHeight="true" outlineLevel="0" collapsed="false">
      <c r="A15" s="15" t="s">
        <v>145</v>
      </c>
      <c r="B15" s="20" t="n">
        <v>0.46</v>
      </c>
      <c r="C15" s="20" t="n">
        <f aca="false">B9/B11</f>
        <v>0.458333333333333</v>
      </c>
      <c r="D15" s="8" t="str">
        <f aca="false">IF(ABS(B15-C15)&lt;=0.005,"OK","CHECK")</f>
        <v>OK</v>
      </c>
      <c r="E15" s="10" t="s">
        <v>146</v>
      </c>
    </row>
    <row r="16" customFormat="false" ht="15" hidden="false" customHeight="true" outlineLevel="0" collapsed="false">
      <c r="A16" s="15" t="s">
        <v>147</v>
      </c>
      <c r="B16" s="21" t="n">
        <v>0.7</v>
      </c>
      <c r="C16" s="21" t="n">
        <f aca="false">('Slide 10 - Balans vb'!B14-B8)/B4</f>
        <v>0.666666666666667</v>
      </c>
      <c r="D16" s="8" t="str">
        <f aca="false">IF(ABS(B16-C16)&lt;=0.05,"OK","CHECK")</f>
        <v>OK</v>
      </c>
      <c r="E16" s="10" t="s">
        <v>148</v>
      </c>
    </row>
    <row r="17" customFormat="false" ht="15" hidden="false" customHeight="true" outlineLevel="0" collapsed="false">
      <c r="A17" s="15" t="s">
        <v>149</v>
      </c>
      <c r="B17" s="21" t="n">
        <v>2.3</v>
      </c>
      <c r="C17" s="21" t="n">
        <f aca="false">'Slide 10 - Balans vb'!B6/'Slide 10 - Balans vb'!B15</f>
        <v>2.33333333333333</v>
      </c>
      <c r="D17" s="8" t="str">
        <f aca="false">IF(ABS(B17-C17)&lt;=0.05,"OK","CHECK")</f>
        <v>OK</v>
      </c>
      <c r="E17" s="1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true" outlineLevel="0" collapsed="false">
      <c r="A2" s="19" t="s">
        <v>151</v>
      </c>
    </row>
    <row r="3" customFormat="false" ht="15" hidden="false" customHeight="true" outlineLevel="0" collapsed="false">
      <c r="A3" s="15" t="s">
        <v>38</v>
      </c>
      <c r="B3" s="16" t="n">
        <v>3273</v>
      </c>
      <c r="C3" s="16" t="n">
        <f aca="false">'Slide 09 - W&amp;V Alliander'!B2</f>
        <v>3273</v>
      </c>
      <c r="D3" s="8" t="str">
        <f aca="false">IF(ABS(B3-C3)&lt;=0.5,"OK","CHECK")</f>
        <v>OK</v>
      </c>
      <c r="E3" s="10" t="s">
        <v>152</v>
      </c>
    </row>
    <row r="4" customFormat="false" ht="15" hidden="false" customHeight="true" outlineLevel="0" collapsed="false">
      <c r="A4" s="15" t="s">
        <v>40</v>
      </c>
      <c r="B4" s="16" t="n">
        <v>1069</v>
      </c>
      <c r="C4" s="16" t="n">
        <f aca="false">'Slide 09 - W&amp;V Alliander'!B7</f>
        <v>1069</v>
      </c>
      <c r="D4" s="8" t="str">
        <f aca="false">IF(ABS(B4-C4)&lt;=0.5,"OK","CHECK")</f>
        <v>OK</v>
      </c>
      <c r="E4" s="10" t="s">
        <v>152</v>
      </c>
    </row>
    <row r="5" customFormat="false" ht="15" hidden="false" customHeight="true" outlineLevel="0" collapsed="false">
      <c r="A5" s="15" t="s">
        <v>131</v>
      </c>
      <c r="B5" s="16" t="n">
        <v>2328</v>
      </c>
      <c r="C5" s="16" t="n">
        <f aca="false">-'Slide 09 - W&amp;V Alliander'!B5</f>
        <v>2328</v>
      </c>
      <c r="D5" s="8" t="str">
        <f aca="false">IF(ABS(B5-C5)&lt;=0.5,"OK","CHECK")</f>
        <v>OK</v>
      </c>
      <c r="E5" s="10" t="s">
        <v>153</v>
      </c>
    </row>
    <row r="6" customFormat="false" ht="15" hidden="false" customHeight="true" outlineLevel="0" collapsed="false">
      <c r="A6" s="15" t="s">
        <v>133</v>
      </c>
      <c r="B6" s="16" t="n">
        <v>2071</v>
      </c>
      <c r="C6" s="16" t="n">
        <f aca="false">-'Slide 13 - Kasstr. Alliander'!B3</f>
        <v>2071</v>
      </c>
      <c r="D6" s="8" t="str">
        <f aca="false">IF(ABS(B6-C6)&lt;=0.5,"OK","CHECK")</f>
        <v>OK</v>
      </c>
      <c r="E6" s="10" t="s">
        <v>154</v>
      </c>
    </row>
    <row r="7" customFormat="false" ht="15" hidden="false" customHeight="true" outlineLevel="0" collapsed="false">
      <c r="A7" s="15" t="s">
        <v>103</v>
      </c>
      <c r="B7" s="16" t="n">
        <v>289</v>
      </c>
      <c r="C7" s="16" t="n">
        <f aca="false">'Slide 09 - W&amp;V Alliander'!B10</f>
        <v>289</v>
      </c>
      <c r="D7" s="8" t="str">
        <f aca="false">IF(ABS(B7-C7)&lt;=0.5,"OK","CHECK")</f>
        <v>OK</v>
      </c>
      <c r="E7" s="10" t="s">
        <v>152</v>
      </c>
    </row>
    <row r="8" customFormat="false" ht="15" hidden="false" customHeight="true" outlineLevel="0" collapsed="false">
      <c r="A8" s="15" t="s">
        <v>135</v>
      </c>
      <c r="B8" s="16" t="n">
        <v>307</v>
      </c>
      <c r="C8" s="16" t="n">
        <f aca="false">'Slide 13 - Kasstr. Alliander'!B8</f>
        <v>307</v>
      </c>
      <c r="D8" s="8" t="str">
        <f aca="false">IF(ABS(B8-C8)&lt;=0.5,"OK","CHECK")</f>
        <v>OK</v>
      </c>
      <c r="E8" s="10" t="s">
        <v>155</v>
      </c>
    </row>
    <row r="9" customFormat="false" ht="15" hidden="false" customHeight="true" outlineLevel="0" collapsed="false">
      <c r="A9" s="15" t="s">
        <v>61</v>
      </c>
      <c r="B9" s="16" t="n">
        <v>6203</v>
      </c>
      <c r="C9" s="16" t="n">
        <f aca="false">'Slide 11 - Balans Alliander'!B7</f>
        <v>6203</v>
      </c>
      <c r="D9" s="8" t="str">
        <f aca="false">IF(ABS(B9-C9)&lt;=0.5,"OK","CHECK")</f>
        <v>OK</v>
      </c>
      <c r="E9" s="10" t="s">
        <v>156</v>
      </c>
    </row>
    <row r="10" customFormat="false" ht="15" hidden="false" customHeight="true" outlineLevel="0" collapsed="false">
      <c r="A10" s="15" t="s">
        <v>137</v>
      </c>
      <c r="B10" s="16" t="n">
        <v>7960</v>
      </c>
      <c r="C10" s="16" t="n">
        <f aca="false">'Slide 11 - Balans Alliander'!B6-'Slide 11 - Balans Alliander'!B7</f>
        <v>7960</v>
      </c>
      <c r="D10" s="8" t="str">
        <f aca="false">IF(ABS(B10-C10)&lt;=0.5,"OK","CHECK")</f>
        <v>OK</v>
      </c>
      <c r="E10" s="10" t="s">
        <v>138</v>
      </c>
    </row>
    <row r="11" customFormat="false" ht="15" hidden="false" customHeight="true" outlineLevel="0" collapsed="false">
      <c r="A11" s="15" t="s">
        <v>139</v>
      </c>
      <c r="B11" s="16" t="n">
        <v>14163</v>
      </c>
      <c r="C11" s="16" t="n">
        <f aca="false">'Slide 11 - Balans Alliander'!B6</f>
        <v>14163</v>
      </c>
      <c r="D11" s="8" t="str">
        <f aca="false">IF(ABS(B11-C11)&lt;=0.5,"OK","CHECK")</f>
        <v>OK</v>
      </c>
      <c r="E11" s="10" t="s">
        <v>156</v>
      </c>
    </row>
    <row r="12" customFormat="false" ht="15" hidden="false" customHeight="true" outlineLevel="0" collapsed="false">
      <c r="A12" s="19" t="s">
        <v>157</v>
      </c>
    </row>
    <row r="13" customFormat="false" ht="15" hidden="false" customHeight="true" outlineLevel="0" collapsed="false">
      <c r="A13" s="15" t="s">
        <v>158</v>
      </c>
      <c r="B13" s="20" t="n">
        <v>0.327</v>
      </c>
      <c r="C13" s="20" t="n">
        <f aca="false">B4/B3</f>
        <v>0.326611671249618</v>
      </c>
      <c r="D13" s="8" t="str">
        <f aca="false">IF(ABS(B13-C13)&lt;=0.0006,"OK","CHECK")</f>
        <v>OK</v>
      </c>
      <c r="E13" s="10" t="s">
        <v>159</v>
      </c>
    </row>
    <row r="14" customFormat="false" ht="15" hidden="false" customHeight="true" outlineLevel="0" collapsed="false">
      <c r="A14" s="15" t="s">
        <v>160</v>
      </c>
      <c r="B14" s="20" t="n">
        <v>0.088</v>
      </c>
      <c r="C14" s="20" t="n">
        <f aca="false">B7/B3</f>
        <v>0.0882981973724412</v>
      </c>
      <c r="D14" s="8" t="str">
        <f aca="false">IF(ABS(B14-C14)&lt;=0.0006,"OK","CHECK")</f>
        <v>OK</v>
      </c>
      <c r="E14" s="10" t="s">
        <v>161</v>
      </c>
    </row>
    <row r="15" customFormat="false" ht="15" hidden="false" customHeight="true" outlineLevel="0" collapsed="false">
      <c r="A15" s="15" t="s">
        <v>162</v>
      </c>
      <c r="B15" s="20" t="n">
        <v>0.44</v>
      </c>
      <c r="C15" s="20" t="n">
        <f aca="false">B9/B11</f>
        <v>0.437972181035091</v>
      </c>
      <c r="D15" s="8" t="str">
        <f aca="false">IF(ABS(B15-C15)&lt;=0.005,"OK","CHECK")</f>
        <v>OK</v>
      </c>
      <c r="E15" s="10" t="s">
        <v>163</v>
      </c>
    </row>
    <row r="16" customFormat="false" ht="15" hidden="false" customHeight="true" outlineLevel="0" collapsed="false">
      <c r="A16" s="15" t="s">
        <v>164</v>
      </c>
      <c r="B16" s="21" t="n">
        <v>4</v>
      </c>
      <c r="C16" s="21" t="n">
        <f aca="false">('Slide 11 - Balans Alliander'!B8-B8)/B4</f>
        <v>3.98596819457437</v>
      </c>
      <c r="D16" s="8" t="str">
        <f aca="false">IF(ABS(B16-C16)&lt;=0.5,"OK","CHECK")</f>
        <v>OK</v>
      </c>
      <c r="E16" s="1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true" outlineLevel="0" collapsed="false">
      <c r="A2" s="7" t="s">
        <v>166</v>
      </c>
      <c r="B2" s="14" t="n">
        <v>10200</v>
      </c>
      <c r="E2" s="10" t="s">
        <v>167</v>
      </c>
    </row>
    <row r="3" customFormat="false" ht="15" hidden="false" customHeight="true" outlineLevel="0" collapsed="false">
      <c r="A3" s="7" t="s">
        <v>168</v>
      </c>
      <c r="B3" s="14" t="n">
        <v>1444</v>
      </c>
      <c r="E3" s="10" t="s">
        <v>169</v>
      </c>
    </row>
    <row r="4" customFormat="false" ht="15" hidden="false" customHeight="true" outlineLevel="0" collapsed="false">
      <c r="A4" s="7" t="s">
        <v>46</v>
      </c>
      <c r="B4" s="14" t="n">
        <v>635</v>
      </c>
      <c r="E4" s="10" t="s">
        <v>169</v>
      </c>
    </row>
    <row r="5" customFormat="false" ht="15" hidden="false" customHeight="true" outlineLevel="0" collapsed="false">
      <c r="A5" s="15" t="s">
        <v>170</v>
      </c>
      <c r="B5" s="20" t="n">
        <v>0.142</v>
      </c>
      <c r="C5" s="20" t="n">
        <f aca="false">B3/B2</f>
        <v>0.14156862745098</v>
      </c>
      <c r="D5" s="8" t="str">
        <f aca="false">IF(ABS(B5-C5)&lt;=0.003,"OK","CHECK")</f>
        <v>OK</v>
      </c>
      <c r="E5" s="10" t="s">
        <v>171</v>
      </c>
    </row>
    <row r="6" customFormat="false" ht="15" hidden="false" customHeight="true" outlineLevel="0" collapsed="false">
      <c r="A6" s="7" t="s">
        <v>172</v>
      </c>
      <c r="B6" s="14" t="n">
        <v>25000</v>
      </c>
      <c r="E6" s="1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true" outlineLevel="0" collapsed="false">
      <c r="A2" s="7" t="s">
        <v>174</v>
      </c>
      <c r="B2" s="14" t="n">
        <v>52</v>
      </c>
      <c r="E2" s="10" t="s">
        <v>175</v>
      </c>
    </row>
    <row r="3" customFormat="false" ht="15" hidden="false" customHeight="true" outlineLevel="0" collapsed="false">
      <c r="A3" s="7" t="s">
        <v>176</v>
      </c>
      <c r="B3" s="14" t="n">
        <v>73</v>
      </c>
      <c r="E3" s="10" t="s">
        <v>177</v>
      </c>
    </row>
    <row r="4" customFormat="false" ht="15" hidden="false" customHeight="true" outlineLevel="0" collapsed="false">
      <c r="A4" s="15" t="s">
        <v>178</v>
      </c>
      <c r="B4" s="20" t="n">
        <v>0.404</v>
      </c>
      <c r="C4" s="20" t="n">
        <f aca="false">(B3-B2)/B2</f>
        <v>0.403846153846154</v>
      </c>
      <c r="D4" s="8" t="str">
        <f aca="false">IF(ABS(B4-C4)&lt;=0.01,"OK","CHECK")</f>
        <v>OK</v>
      </c>
      <c r="E4" s="10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3"/>
    <col collapsed="false" customWidth="true" hidden="false" outlineLevel="0" max="4" min="4" style="1" width="7"/>
    <col collapsed="false" customWidth="true" hidden="false" outlineLevel="0" max="5" min="5" style="1" width="46"/>
  </cols>
  <sheetData>
    <row r="1" customFormat="false" ht="15" hidden="false" customHeight="true" outlineLevel="0" collapsed="false">
      <c r="A1" s="5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true" outlineLevel="0" collapsed="false">
      <c r="A2" s="7" t="s">
        <v>180</v>
      </c>
      <c r="B2" s="14" t="n">
        <v>600</v>
      </c>
      <c r="E2" s="10" t="s">
        <v>181</v>
      </c>
    </row>
    <row r="3" customFormat="false" ht="23.25" hidden="false" customHeight="true" outlineLevel="0" collapsed="false">
      <c r="A3" s="7" t="s">
        <v>182</v>
      </c>
      <c r="B3" s="14" t="n">
        <v>6000</v>
      </c>
      <c r="E3" s="1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4"/>
    <col collapsed="false" customWidth="true" hidden="false" outlineLevel="0" max="4" min="4" style="1" width="46"/>
  </cols>
  <sheetData>
    <row r="1" customFormat="false" ht="15" hidden="false" customHeight="true" outlineLevel="0" collapsed="false">
      <c r="A1" s="5" t="s">
        <v>184</v>
      </c>
      <c r="B1" s="4" t="s">
        <v>185</v>
      </c>
      <c r="C1" s="4" t="s">
        <v>186</v>
      </c>
      <c r="D1" s="5" t="s">
        <v>37</v>
      </c>
    </row>
    <row r="2" customFormat="false" ht="15" hidden="false" customHeight="true" outlineLevel="0" collapsed="false">
      <c r="A2" s="7" t="s">
        <v>187</v>
      </c>
      <c r="B2" s="14" t="n">
        <v>289</v>
      </c>
      <c r="D2" s="10" t="s">
        <v>188</v>
      </c>
    </row>
    <row r="3" customFormat="false" ht="15" hidden="false" customHeight="true" outlineLevel="0" collapsed="false">
      <c r="A3" s="7" t="s">
        <v>189</v>
      </c>
      <c r="B3" s="14" t="n">
        <v>5814</v>
      </c>
      <c r="C3" s="14" t="n">
        <v>2437</v>
      </c>
      <c r="D3" s="10" t="s">
        <v>190</v>
      </c>
    </row>
    <row r="4" customFormat="false" ht="15" hidden="false" customHeight="true" outlineLevel="0" collapsed="false">
      <c r="A4" s="7" t="s">
        <v>191</v>
      </c>
      <c r="B4" s="14" t="n">
        <v>1</v>
      </c>
      <c r="D4" s="10"/>
    </row>
    <row r="5" customFormat="false" ht="15" hidden="false" customHeight="true" outlineLevel="0" collapsed="false">
      <c r="A5" s="7" t="s">
        <v>192</v>
      </c>
      <c r="B5" s="14" t="n">
        <v>115</v>
      </c>
      <c r="C5" s="14" t="n">
        <v>92</v>
      </c>
      <c r="D5" s="10" t="s">
        <v>193</v>
      </c>
    </row>
    <row r="6" customFormat="false" ht="15" hidden="false" customHeight="true" outlineLevel="0" collapsed="false">
      <c r="A6" s="7" t="s">
        <v>194</v>
      </c>
      <c r="C6" s="14" t="n">
        <v>4</v>
      </c>
      <c r="D6" s="10" t="s">
        <v>195</v>
      </c>
    </row>
    <row r="7" customFormat="false" ht="15" hidden="false" customHeight="true" outlineLevel="0" collapsed="false">
      <c r="A7" s="7" t="s">
        <v>196</v>
      </c>
      <c r="C7" s="14" t="n">
        <v>294</v>
      </c>
      <c r="D7" s="10" t="s">
        <v>197</v>
      </c>
    </row>
    <row r="8" customFormat="false" ht="15" hidden="false" customHeight="true" outlineLevel="0" collapsed="false">
      <c r="A8" s="22" t="s">
        <v>198</v>
      </c>
      <c r="B8" s="16" t="n">
        <f aca="false">SUM(B2:B7)</f>
        <v>6219</v>
      </c>
      <c r="D8" s="23" t="s">
        <v>199</v>
      </c>
    </row>
    <row r="9" customFormat="false" ht="15" hidden="false" customHeight="true" outlineLevel="0" collapsed="false">
      <c r="A9" s="22" t="s">
        <v>200</v>
      </c>
      <c r="C9" s="16" t="n">
        <f aca="false">SUM(C2:C7)</f>
        <v>2827</v>
      </c>
      <c r="D9" s="23" t="s">
        <v>201</v>
      </c>
    </row>
    <row r="10" customFormat="false" ht="15" hidden="false" customHeight="true" outlineLevel="0" collapsed="false">
      <c r="A10" s="24" t="s">
        <v>202</v>
      </c>
      <c r="B10" s="25" t="n">
        <f aca="false">B8-C9</f>
        <v>3392</v>
      </c>
      <c r="D10" s="10" t="str">
        <f aca="false">IF(B10&gt;0,"OK — sterk positief (claim klopt)","CHECK")</f>
        <v>OK — sterk positief (claim klopt)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2026-06-03T16:00:41Z</dcterms:created>
  <dc:creator>openpyxl</dc:creator>
  <dc:description/>
  <dc:language>en-US</dc:language>
  <cp:lastModifiedBy/>
  <dcterms:modified xsi:type="dcterms:W3CDTF">2026-06-03T16:02:41Z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